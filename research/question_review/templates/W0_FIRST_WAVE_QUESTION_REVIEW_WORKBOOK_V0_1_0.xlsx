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a9c9b550554a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önergeler" sheetId="1" r:id="R953eada3295c4afe"/>
    <x:sheet xmlns:r="http://schemas.openxmlformats.org/officeDocument/2006/relationships" name="İnceleme" sheetId="2" r:id="R9e9f171b7b2c43dd"/>
    <x:sheet xmlns:r="http://schemas.openxmlformats.org/officeDocument/2006/relationships" name="Sözlük" sheetId="3" r:id="R6c8f1a36a0db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General"/>
    <x:numFmt numFmtId="202" formatCode="@"/>
  </x:numFmts>
  <x:fonts count="26">
    <x:font>
      <x:sz val="11"/>
      <x:name val="Carlito"/>
    </x:font>
    <x:font>
      <x:b/>
      <x:sz val="20"/>
      <x:color rgb="FFFFFFFF"/>
      <x:name val="Carlito"/>
    </x:font>
    <x:font>
      <x:b/>
      <x:sz val="12"/>
      <x:color rgb="FF991B1B"/>
      <x:name val="Carlito"/>
    </x:font>
    <x:font>
      <x:b/>
      <x:sz val="11"/>
      <x:color rgb="FFFFFFFF"/>
      <x:name val="Carlito"/>
    </x:font>
    <x:font>
      <x:b/>
      <x:sz val="11"/>
      <x:color rgb="FF0B1F33"/>
      <x:name val="Carlito"/>
    </x:font>
    <x:font>
      <x:b/>
      <x:sz val="11"/>
      <x:name val="Carlito"/>
    </x:font>
    <x:font>
      <x:sz val="11"/>
      <x:color rgb="FF0B1F33"/>
      <x:name val="Carlito"/>
    </x:font>
    <x:font>
      <x:b/>
      <x:sz val="11"/>
      <x:color rgb="FF1D4ED8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2"/>
      <x:color rgb="FF991B1B"/>
      <x:name val="Aptos"/>
    </x:font>
    <x:font>
      <x:b/>
      <x:sz val="11"/>
      <x:color rgb="FFFFFFFF"/>
      <x:name val="Aptos"/>
    </x:font>
    <x:font>
      <x:b/>
      <x:sz val="11"/>
      <x:color rgb="FF0B1F33"/>
      <x:name val="Aptos"/>
    </x:font>
    <x:font>
      <x:b/>
      <x:sz val="11"/>
      <x:name val="Aptos"/>
    </x:font>
    <x:font>
      <x:sz val="11"/>
      <x:color rgb="FF0B1F33"/>
      <x:name val="Aptos"/>
    </x:font>
    <x:font>
      <x:b/>
      <x:sz val="11"/>
      <x:color rgb="FF1D4ED8"/>
      <x:name val="Aptos"/>
    </x:font>
    <x:font>
      <x:b/>
      <x:sz val="18"/>
      <x:color rgb="FFFFFFFF"/>
      <x:name val="Carlito"/>
    </x:font>
    <x:font>
      <x:b/>
      <x:sz val="11"/>
      <x:color rgb="FF991B1B"/>
      <x:name val="Carlito"/>
    </x:font>
    <x:font>
      <x:b/>
      <x:sz val="10"/>
      <x:color rgb="FFFFFFFF"/>
      <x:name val="Carlito"/>
    </x:font>
    <x:font>
      <x:sz val="11"/>
      <x:color rgb="FF334155"/>
      <x:name val="Carlito"/>
    </x:font>
    <x:font>
      <x:sz val="11"/>
      <x:color rgb="FF1D4ED8"/>
      <x:name val="Carlito"/>
    </x:font>
    <x:font>
      <x:b/>
      <x:sz val="18"/>
      <x:color rgb="FFFFFFFF"/>
      <x:name val="Aptos"/>
    </x:font>
    <x:font>
      <x:b/>
      <x:sz val="11"/>
      <x:color rgb="FF991B1B"/>
      <x:name val="Aptos"/>
    </x:font>
    <x:font>
      <x:b/>
      <x:sz val="10"/>
      <x:color rgb="FFFFFFFF"/>
      <x:name val="Aptos"/>
    </x:font>
    <x:font>
      <x:sz val="11"/>
      <x:color rgb="FF334155"/>
      <x:name val="Aptos"/>
    </x:font>
    <x:font>
      <x:sz val="11"/>
      <x:color rgb="FF1D4ED8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FEE2E2"/>
      </x:patternFill>
    </x:fill>
    <x:fill>
      <x:patternFill patternType="solid">
        <x:fgColor rgb="FF0F766E"/>
      </x:patternFill>
    </x:fill>
    <x:fill>
      <x:patternFill patternType="solid">
        <x:fgColor rgb="FFE8F1FB"/>
      </x:patternFill>
    </x:fill>
    <x:fill>
      <x:patternFill patternType="solid">
        <x:fgColor rgb="FFFFFFFF"/>
      </x:patternFill>
    </x:fill>
    <x:fill>
      <x:patternFill patternType="solid">
        <x:fgColor rgb="FFEEF2F6"/>
      </x:patternFill>
    </x:fill>
    <x:fill>
      <x:patternFill patternType="solid">
        <x:fgColor rgb="FFFFF4CC"/>
      </x:patternFill>
    </x:fill>
    <x:fill>
      <x:patternFill patternType="solid">
        <x:fgColor rgb="FFDCFCE7"/>
      </x:patternFill>
    </x:fill>
    <x:fill>
      <x:patternFill patternType="solid">
        <x:fgColor rgb="FF475569"/>
      </x:patternFill>
    </x:fill>
    <x:fill>
      <x:patternFill patternType="solid">
        <x:fgColor rgb="FFA16207"/>
      </x:patternFill>
    </x:fill>
  </x:fills>
  <x:borders count="21">
    <x:border/>
    <x:border>
      <x:left style="medium">
        <x:color rgb="FFDC2626"/>
      </x:left>
      <x:top style="medium">
        <x:color rgb="FFDC2626"/>
      </x:top>
    </x:border>
    <x:border>
      <x:top style="medium">
        <x:color rgb="FFDC2626"/>
      </x:top>
    </x:border>
    <x:border>
      <x:right style="medium">
        <x:color rgb="FFDC2626"/>
      </x:right>
      <x:top style="medium">
        <x:color rgb="FFDC2626"/>
      </x:top>
    </x:border>
    <x:border>
      <x:left style="medium">
        <x:color rgb="FFDC2626"/>
      </x:left>
      <x:bottom style="medium">
        <x:color rgb="FFDC2626"/>
      </x:bottom>
    </x:border>
    <x:border>
      <x:bottom style="medium">
        <x:color rgb="FFDC2626"/>
      </x:bottom>
    </x:border>
    <x:border>
      <x:right style="medium">
        <x:color rgb="FFDC2626"/>
      </x:right>
      <x:bottom style="medium">
        <x:color rgb="FFDC2626"/>
      </x:bottom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64748B"/>
      </x:left>
      <x:right style="thin">
        <x:color rgb="FF64748B"/>
      </x:right>
      <x:top style="thin">
        <x:color rgb="FF64748B"/>
      </x:top>
      <x:bottom style="thin">
        <x:color rgb="FF64748B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FDE68A"/>
      </x:bottom>
    </x:border>
    <x:border>
      <x:top style="thin">
        <x:color rgb="FFFDE68A"/>
      </x:top>
      <x:bottom style="thin">
        <x:color rgb="FFFDE68A"/>
      </x:bottom>
    </x:border>
    <x:border>
      <x:top style="thin">
        <x:color rgb="FFFDE68A"/>
      </x:top>
    </x:border>
    <x:border>
      <x:bottom style="thin">
        <x:color rgb="FFBFDBFE"/>
      </x:bottom>
    </x:border>
    <x:border>
      <x:top style="thin">
        <x:color rgb="FFBFDBFE"/>
      </x:top>
      <x:bottom style="thin">
        <x:color rgb="FFBFDBFE"/>
      </x:bottom>
    </x:border>
    <x:border>
      <x:top style="thin">
        <x:color rgb="FFBFDBFE"/>
      </x:top>
    </x:border>
    <x:border>
      <x:left style="thin">
        <x:color rgb="FF0D9488"/>
      </x:left>
      <x:right style="thin">
        <x:color rgb="FF0D9488"/>
      </x:right>
      <x:top style="thin">
        <x:color rgb="FF0D9488"/>
      </x:top>
      <x:bottom style="thin">
        <x:color rgb="FF0D9488"/>
      </x:bottom>
    </x:border>
  </x:borders>
  <x:cellStyleXfs count="1">
    <x:xf numFmtId="0" fontId="0" fillId="0" borderId="0"/>
  </x:cellStyleXfs>
  <x:cellXfs count="1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9" xfId="0" applyNumberFormat="1" applyFont="1" applyFill="1" applyBorder="1"/>
    <x:xf numFmtId="0" fontId="0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5" borderId="9" xfId="0" applyNumberFormat="1" applyFont="1" applyFill="1" applyBorder="1"/>
    <x:xf numFmtId="0" fontId="4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5" borderId="9" xfId="0" applyNumberFormat="1" applyFont="1" applyFill="1" applyBorder="1"/>
    <x:xf numFmtId="200" fontId="4" fillId="5" borderId="9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5" borderId="9" xfId="0" applyNumberFormat="1" applyFont="1" applyFill="1" applyBorder="1" applyAlignment="1">
      <x:alignment horizontal="center"/>
    </x:xf>
    <x:xf numFmtId="200" fontId="4" fillId="5" borderId="9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4" fillId="5" borderId="9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9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9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9" xfId="0" applyNumberFormat="1" applyFont="1" applyFill="1" applyBorder="1"/>
    <x:xf numFmtId="0" fontId="5" fillId="7" borderId="9" xfId="0" applyNumberFormat="1" applyFont="1" applyFill="1" applyBorder="1"/>
    <x:xf numFmtId="0" fontId="5" fillId="8" borderId="9" xfId="0" applyNumberFormat="1" applyFont="1" applyFill="1" applyBorder="1"/>
    <x:xf numFmtId="0" fontId="7" fillId="8" borderId="9" xfId="0" applyNumberFormat="1" applyFont="1" applyFill="1" applyBorder="1"/>
    <x:xf numFmtId="0" fontId="5" fillId="5" borderId="9" xfId="0" applyNumberFormat="1" applyFont="1" applyFill="1" applyBorder="1"/>
    <x:xf numFmtId="0" fontId="5" fillId="9" borderId="9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vertical="center" wrapText="1"/>
    </x:xf>
    <x:xf numFmtId="0" fontId="10" fillId="3" borderId="2" xfId="0" applyNumberFormat="1" applyFont="1" applyFill="1" applyBorder="1" applyAlignment="1">
      <x:alignment vertical="center" wrapText="1"/>
    </x:xf>
    <x:xf numFmtId="0" fontId="10" fillId="3" borderId="3" xfId="0" applyNumberFormat="1" applyFont="1" applyFill="1" applyBorder="1" applyAlignment="1">
      <x:alignment vertical="center" wrapText="1"/>
    </x:xf>
    <x:xf numFmtId="0" fontId="10" fillId="3" borderId="4" xfId="0" applyNumberFormat="1" applyFont="1" applyFill="1" applyBorder="1" applyAlignment="1">
      <x:alignment vertical="center" wrapText="1"/>
    </x:xf>
    <x:xf numFmtId="0" fontId="10" fillId="3" borderId="5" xfId="0" applyNumberFormat="1" applyFont="1" applyFill="1" applyBorder="1" applyAlignment="1">
      <x:alignment vertical="center" wrapText="1"/>
    </x:xf>
    <x:xf numFmtId="0" fontId="10" fillId="3" borderId="6" xfId="0" applyNumberFormat="1" applyFont="1" applyFill="1" applyBorder="1" applyAlignment="1">
      <x:alignment vertical="center" wrapText="1"/>
    </x:xf>
    <x:xf numFmtId="0" fontId="11" fillId="4" borderId="7" xfId="0" applyNumberFormat="1" applyFont="1" applyFill="1" applyBorder="1"/>
    <x:xf numFmtId="0" fontId="11" fillId="4" borderId="8" xfId="0" applyNumberFormat="1" applyFont="1" applyFill="1" applyBorder="1"/>
    <x:xf numFmtId="0" fontId="11" fillId="4" borderId="0" xfId="0" applyNumberFormat="1" applyFont="1" applyFill="1" applyBorder="1"/>
    <x:xf numFmtId="0" fontId="9" fillId="0" borderId="9" xfId="0" applyNumberFormat="1" applyFont="1" applyFill="1" applyBorder="1"/>
    <x:xf numFmtId="200" fontId="12" fillId="5" borderId="9" xfId="0" applyNumberFormat="1" applyFont="1" applyFill="1" applyBorder="1" applyAlignment="1">
      <x:alignment horizontal="center"/>
    </x:xf>
    <x:xf numFmtId="0" fontId="9" fillId="6" borderId="9" xfId="0" applyNumberFormat="1" applyFont="1" applyFill="1" applyBorder="1" applyAlignment="1">
      <x:alignment vertical="top" wrapText="1"/>
    </x:xf>
    <x:xf numFmtId="201" fontId="12" fillId="5" borderId="9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" borderId="0" xfId="0" applyNumberFormat="1" applyFont="1" applyFill="1" applyBorder="1"/>
    <x:xf numFmtId="0" fontId="13" fillId="7" borderId="9" xfId="0" applyNumberFormat="1" applyFont="1" applyFill="1" applyBorder="1" applyAlignment="1">
      <x:alignment wrapText="1"/>
    </x:xf>
    <x:xf numFmtId="0" fontId="14" fillId="6" borderId="9" xfId="0" applyNumberFormat="1" applyFont="1" applyFill="1" applyBorder="1" applyAlignment="1">
      <x:alignment wrapText="1"/>
    </x:xf>
    <x:xf numFmtId="0" fontId="14" fillId="6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7" borderId="9" xfId="0" applyNumberFormat="1" applyFont="1" applyFill="1" applyBorder="1"/>
    <x:xf numFmtId="0" fontId="15" fillId="8" borderId="9" xfId="0" applyNumberFormat="1" applyFont="1" applyFill="1" applyBorder="1"/>
    <x:xf numFmtId="0" fontId="13" fillId="5" borderId="9" xfId="0" applyNumberFormat="1" applyFont="1" applyFill="1" applyBorder="1"/>
    <x:xf numFmtId="0" fontId="13" fillId="9" borderId="9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11" fillId="4" borderId="7" xfId="0" applyNumberFormat="1" applyFont="1" applyFill="1" applyBorder="1" applyAlignment="1">
      <x:alignment vertical="center"/>
    </x:xf>
    <x:xf numFmtId="0" fontId="11" fillId="4" borderId="8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9" fillId="0" borderId="9" xfId="0" applyNumberFormat="1" applyFont="1" applyFill="1" applyBorder="1" applyAlignment="1">
      <x:alignment vertical="center"/>
    </x:xf>
    <x:xf numFmtId="200" fontId="12" fillId="5" borderId="9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vertical="center" wrapText="1"/>
    </x:xf>
    <x:xf numFmtId="201" fontId="12" fillId="5" borderId="9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1" fillId="2" borderId="0" xfId="0" applyNumberFormat="1" applyFont="1" applyFill="1" applyBorder="1" applyAlignment="1">
      <x:alignment vertical="center"/>
    </x:xf>
    <x:xf numFmtId="0" fontId="13" fillId="7" borderId="9" xfId="0" applyNumberFormat="1" applyFont="1" applyFill="1" applyBorder="1" applyAlignment="1">
      <x:alignment vertical="center" wrapText="1"/>
    </x:xf>
    <x:xf numFmtId="0" fontId="14" fillId="6" borderId="9" xfId="0" applyNumberFormat="1" applyFont="1" applyFill="1" applyBorder="1" applyAlignment="1">
      <x:alignment vertical="center" wrapText="1"/>
    </x:xf>
    <x:xf numFmtId="0" fontId="14" fillId="6" borderId="9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3" fillId="7" borderId="9" xfId="0" applyNumberFormat="1" applyFont="1" applyFill="1" applyBorder="1" applyAlignment="1">
      <x:alignment vertical="center"/>
    </x:xf>
    <x:xf numFmtId="0" fontId="15" fillId="8" borderId="9" xfId="0" applyNumberFormat="1" applyFont="1" applyFill="1" applyBorder="1" applyAlignment="1">
      <x:alignment vertical="center"/>
    </x:xf>
    <x:xf numFmtId="0" fontId="13" fillId="5" borderId="9" xfId="0" applyNumberFormat="1" applyFont="1" applyFill="1" applyBorder="1" applyAlignment="1">
      <x:alignment vertical="center"/>
    </x:xf>
    <x:xf numFmtId="0" fontId="13" fillId="9" borderId="9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vertical="center"/>
    </x:xf>
    <x:xf numFmtId="0" fontId="17" fillId="3" borderId="0" xfId="0" applyNumberFormat="1" applyFont="1" applyFill="1" applyBorder="1"/>
    <x:xf numFmtId="0" fontId="17" fillId="3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18" fillId="2" borderId="0" xfId="0" applyNumberFormat="1" applyFont="1" applyFill="1" applyBorder="1"/>
    <x:xf numFmtId="0" fontId="18" fillId="2" borderId="10" xfId="0" applyNumberFormat="1" applyFont="1" applyFill="1" applyBorder="1"/>
    <x:xf numFmtId="0" fontId="18" fillId="2" borderId="10" xfId="0" applyNumberFormat="1" applyFont="1" applyFill="1" applyBorder="1" applyAlignment="1">
      <x:alignment wrapText="1"/>
    </x:xf>
    <x:xf numFmtId="0" fontId="18" fillId="2" borderId="10" xfId="0" applyNumberFormat="1" applyFont="1" applyFill="1" applyBorder="1" applyAlignment="1">
      <x:alignment horizontal="center" wrapText="1"/>
    </x:xf>
    <x:xf numFmtId="0" fontId="18" fillId="2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9" fillId="7" borderId="0" xfId="0" applyNumberFormat="1" applyFont="1" applyFill="1" applyBorder="1"/>
    <x:xf numFmtId="0" fontId="19" fillId="7" borderId="11" xfId="0" applyNumberFormat="1" applyFont="1" applyFill="1" applyBorder="1"/>
    <x:xf numFmtId="0" fontId="19" fillId="7" borderId="12" xfId="0" applyNumberFormat="1" applyFont="1" applyFill="1" applyBorder="1"/>
    <x:xf numFmtId="0" fontId="19" fillId="7" borderId="13" xfId="0" applyNumberFormat="1" applyFont="1" applyFill="1" applyBorder="1"/>
    <x:xf numFmtId="0" fontId="19" fillId="7" borderId="11" xfId="0" applyNumberFormat="1" applyFont="1" applyFill="1" applyBorder="1" applyAlignment="1">
      <x:alignment vertical="top"/>
    </x:xf>
    <x:xf numFmtId="0" fontId="19" fillId="7" borderId="12" xfId="0" applyNumberFormat="1" applyFont="1" applyFill="1" applyBorder="1" applyAlignment="1">
      <x:alignment vertical="top"/>
    </x:xf>
    <x:xf numFmtId="0" fontId="19" fillId="7" borderId="13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20" fillId="8" borderId="0" xfId="0" applyNumberFormat="1" applyFont="1" applyFill="1" applyBorder="1"/>
    <x:xf numFmtId="0" fontId="20" fillId="8" borderId="14" xfId="0" applyNumberFormat="1" applyFont="1" applyFill="1" applyBorder="1"/>
    <x:xf numFmtId="0" fontId="20" fillId="8" borderId="15" xfId="0" applyNumberFormat="1" applyFont="1" applyFill="1" applyBorder="1"/>
    <x:xf numFmtId="0" fontId="20" fillId="8" borderId="16" xfId="0" applyNumberFormat="1" applyFont="1" applyFill="1" applyBorder="1"/>
    <x:xf numFmtId="0" fontId="20" fillId="8" borderId="14" xfId="0" applyNumberFormat="1" applyFont="1" applyFill="1" applyBorder="1" applyAlignment="1">
      <x:alignment vertical="top"/>
    </x:xf>
    <x:xf numFmtId="0" fontId="20" fillId="8" borderId="15" xfId="0" applyNumberFormat="1" applyFont="1" applyFill="1" applyBorder="1" applyAlignment="1">
      <x:alignment vertical="top"/>
    </x:xf>
    <x:xf numFmtId="0" fontId="20" fillId="8" borderId="16" xfId="0" applyNumberFormat="1" applyFont="1" applyFill="1" applyBorder="1" applyAlignment="1">
      <x:alignment vertical="top"/>
    </x:xf>
    <x:xf numFmtId="0" fontId="4" fillId="5" borderId="0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17" xfId="0" applyNumberFormat="1" applyFont="1" applyFill="1" applyBorder="1" applyAlignment="1">
      <x:alignment horizontal="center"/>
    </x:xf>
    <x:xf numFmtId="0" fontId="4" fillId="5" borderId="18" xfId="0" applyNumberFormat="1" applyFont="1" applyFill="1" applyBorder="1" applyAlignment="1">
      <x:alignment horizontal="center"/>
    </x:xf>
    <x:xf numFmtId="0" fontId="4" fillId="5" borderId="19" xfId="0" applyNumberFormat="1" applyFont="1" applyFill="1" applyBorder="1" applyAlignment="1">
      <x:alignment horizontal="center"/>
    </x:xf>
    <x:xf numFmtId="0" fontId="4" fillId="5" borderId="17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5" borderId="19" xfId="0" applyNumberFormat="1" applyFont="1" applyFill="1" applyBorder="1" applyAlignment="1">
      <x:alignment horizontal="center" vertical="center"/>
    </x:xf>
    <x:xf numFmtId="0" fontId="19" fillId="7" borderId="11" xfId="0" applyNumberFormat="1" applyFont="1" applyFill="1" applyBorder="1" applyAlignment="1">
      <x:alignment vertical="top" wrapText="1"/>
    </x:xf>
    <x:xf numFmtId="0" fontId="19" fillId="7" borderId="12" xfId="0" applyNumberFormat="1" applyFont="1" applyFill="1" applyBorder="1" applyAlignment="1">
      <x:alignment vertical="top" wrapText="1"/>
    </x:xf>
    <x:xf numFmtId="0" fontId="19" fillId="7" borderId="13" xfId="0" applyNumberFormat="1" applyFont="1" applyFill="1" applyBorder="1" applyAlignment="1">
      <x:alignment vertical="top" wrapText="1"/>
    </x:xf>
    <x:xf numFmtId="0" fontId="20" fillId="8" borderId="14" xfId="0" applyNumberFormat="1" applyFont="1" applyFill="1" applyBorder="1" applyAlignment="1">
      <x:alignment vertical="top" wrapText="1"/>
    </x:xf>
    <x:xf numFmtId="0" fontId="20" fillId="8" borderId="15" xfId="0" applyNumberFormat="1" applyFont="1" applyFill="1" applyBorder="1" applyAlignment="1">
      <x:alignment vertical="top" wrapText="1"/>
    </x:xf>
    <x:xf numFmtId="0" fontId="20" fillId="8" borderId="16" xfId="0" applyNumberFormat="1" applyFont="1" applyFill="1" applyBorder="1" applyAlignment="1">
      <x:alignment vertical="top" wrapText="1"/>
    </x:xf>
    <x:xf numFmtId="202" fontId="20" fillId="8" borderId="14" xfId="0" applyNumberFormat="1" applyFont="1" applyFill="1" applyBorder="1" applyAlignment="1">
      <x:alignment vertical="top"/>
    </x:xf>
    <x:xf numFmtId="202" fontId="20" fillId="8" borderId="15" xfId="0" applyNumberFormat="1" applyFont="1" applyFill="1" applyBorder="1" applyAlignment="1">
      <x:alignment vertical="top"/>
    </x:xf>
    <x:xf numFmtId="202" fontId="20" fillId="8" borderId="16" xfId="0" applyNumberFormat="1" applyFont="1" applyFill="1" applyBorder="1" applyAlignment="1">
      <x:alignment vertical="top"/>
    </x:xf>
    <x:xf numFmtId="200" fontId="19" fillId="7" borderId="11" xfId="0" applyNumberFormat="1" applyFont="1" applyFill="1" applyBorder="1" applyAlignment="1">
      <x:alignment vertical="top"/>
    </x:xf>
    <x:xf numFmtId="200" fontId="19" fillId="7" borderId="12" xfId="0" applyNumberFormat="1" applyFont="1" applyFill="1" applyBorder="1" applyAlignment="1">
      <x:alignment vertical="top"/>
    </x:xf>
    <x:xf numFmtId="200" fontId="19" fillId="7" borderId="13" xfId="0" applyNumberFormat="1" applyFont="1" applyFill="1" applyBorder="1" applyAlignment="1">
      <x:alignment vertical="top"/>
    </x:xf>
    <x:xf numFmtId="0" fontId="21" fillId="2" borderId="0" xfId="0" applyNumberFormat="1" applyFont="1" applyFill="1" applyBorder="1" applyAlignment="1">
      <x:alignment vertical="center"/>
    </x:xf>
    <x:xf numFmtId="0" fontId="22" fillId="3" borderId="0" xfId="0" applyNumberFormat="1" applyFont="1" applyFill="1" applyBorder="1" applyAlignment="1">
      <x:alignment wrapText="1"/>
    </x:xf>
    <x:xf numFmtId="0" fontId="14" fillId="5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/>
    </x:xf>
    <x:xf numFmtId="0" fontId="11" fillId="11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0" fontId="23" fillId="2" borderId="10" xfId="0" applyNumberFormat="1" applyFont="1" applyFill="1" applyBorder="1" applyAlignment="1">
      <x:alignment horizontal="center" vertical="center" wrapText="1"/>
    </x:xf>
    <x:xf numFmtId="200" fontId="24" fillId="7" borderId="11" xfId="0" applyNumberFormat="1" applyFont="1" applyFill="1" applyBorder="1" applyAlignment="1">
      <x:alignment vertical="top"/>
    </x:xf>
    <x:xf numFmtId="0" fontId="24" fillId="7" borderId="11" xfId="0" applyNumberFormat="1" applyFont="1" applyFill="1" applyBorder="1" applyAlignment="1">
      <x:alignment vertical="top"/>
    </x:xf>
    <x:xf numFmtId="0" fontId="24" fillId="7" borderId="11" xfId="0" applyNumberFormat="1" applyFont="1" applyFill="1" applyBorder="1" applyAlignment="1">
      <x:alignment vertical="top" wrapText="1"/>
    </x:xf>
    <x:xf numFmtId="0" fontId="25" fillId="8" borderId="14" xfId="0" applyNumberFormat="1" applyFont="1" applyFill="1" applyBorder="1" applyAlignment="1">
      <x:alignment vertical="top"/>
    </x:xf>
    <x:xf numFmtId="202" fontId="25" fillId="8" borderId="14" xfId="0" applyNumberFormat="1" applyFont="1" applyFill="1" applyBorder="1" applyAlignment="1">
      <x:alignment vertical="top"/>
    </x:xf>
    <x:xf numFmtId="0" fontId="25" fillId="8" borderId="14" xfId="0" applyNumberFormat="1" applyFont="1" applyFill="1" applyBorder="1" applyAlignment="1">
      <x:alignment vertical="top" wrapText="1"/>
    </x:xf>
    <x:xf numFmtId="0" fontId="12" fillId="5" borderId="17" xfId="0" applyNumberFormat="1" applyFont="1" applyFill="1" applyBorder="1" applyAlignment="1">
      <x:alignment horizontal="center" vertical="center"/>
    </x:xf>
    <x:xf numFmtId="200" fontId="24" fillId="7" borderId="12" xfId="0" applyNumberFormat="1" applyFont="1" applyFill="1" applyBorder="1" applyAlignment="1">
      <x:alignment vertical="top"/>
    </x:xf>
    <x:xf numFmtId="0" fontId="24" fillId="7" borderId="12" xfId="0" applyNumberFormat="1" applyFont="1" applyFill="1" applyBorder="1" applyAlignment="1">
      <x:alignment vertical="top"/>
    </x:xf>
    <x:xf numFmtId="0" fontId="24" fillId="7" borderId="12" xfId="0" applyNumberFormat="1" applyFont="1" applyFill="1" applyBorder="1" applyAlignment="1">
      <x:alignment vertical="top" wrapText="1"/>
    </x:xf>
    <x:xf numFmtId="0" fontId="25" fillId="8" borderId="15" xfId="0" applyNumberFormat="1" applyFont="1" applyFill="1" applyBorder="1" applyAlignment="1">
      <x:alignment vertical="top"/>
    </x:xf>
    <x:xf numFmtId="202" fontId="25" fillId="8" borderId="15" xfId="0" applyNumberFormat="1" applyFont="1" applyFill="1" applyBorder="1" applyAlignment="1">
      <x:alignment vertical="top"/>
    </x:xf>
    <x:xf numFmtId="0" fontId="25" fillId="8" borderId="15" xfId="0" applyNumberFormat="1" applyFont="1" applyFill="1" applyBorder="1" applyAlignment="1">
      <x:alignment vertical="top" wrapText="1"/>
    </x:xf>
    <x:xf numFmtId="0" fontId="12" fillId="5" borderId="18" xfId="0" applyNumberFormat="1" applyFont="1" applyFill="1" applyBorder="1" applyAlignment="1">
      <x:alignment horizontal="center" vertical="center"/>
    </x:xf>
    <x:xf numFmtId="200" fontId="24" fillId="7" borderId="13" xfId="0" applyNumberFormat="1" applyFont="1" applyFill="1" applyBorder="1" applyAlignment="1">
      <x:alignment vertical="top"/>
    </x:xf>
    <x:xf numFmtId="0" fontId="24" fillId="7" borderId="13" xfId="0" applyNumberFormat="1" applyFont="1" applyFill="1" applyBorder="1" applyAlignment="1">
      <x:alignment vertical="top"/>
    </x:xf>
    <x:xf numFmtId="0" fontId="24" fillId="7" borderId="13" xfId="0" applyNumberFormat="1" applyFont="1" applyFill="1" applyBorder="1" applyAlignment="1">
      <x:alignment vertical="top" wrapText="1"/>
    </x:xf>
    <x:xf numFmtId="0" fontId="25" fillId="8" borderId="16" xfId="0" applyNumberFormat="1" applyFont="1" applyFill="1" applyBorder="1" applyAlignment="1">
      <x:alignment vertical="top"/>
    </x:xf>
    <x:xf numFmtId="202" fontId="25" fillId="8" borderId="16" xfId="0" applyNumberFormat="1" applyFont="1" applyFill="1" applyBorder="1" applyAlignment="1">
      <x:alignment vertical="top"/>
    </x:xf>
    <x:xf numFmtId="0" fontId="25" fillId="8" borderId="16" xfId="0" applyNumberFormat="1" applyFont="1" applyFill="1" applyBorder="1" applyAlignment="1">
      <x:alignment vertical="top" wrapText="1"/>
    </x:xf>
    <x:xf numFmtId="0" fontId="12" fillId="5" borderId="19" xfId="0" applyNumberFormat="1" applyFont="1" applyFill="1" applyBorder="1" applyAlignment="1">
      <x:alignment horizontal="center" vertical="center"/>
    </x:xf>
    <x:xf numFmtId="0" fontId="3" fillId="4" borderId="20" xfId="0" applyNumberFormat="1" applyFont="1" applyFill="1" applyBorder="1"/>
    <x:xf numFmtId="0" fontId="3" fillId="4" borderId="2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7" borderId="9" xfId="0" applyNumberFormat="1" applyFont="1" applyFill="1" applyBorder="1" applyAlignment="1">
      <x:alignment vertical="top" wrapText="1"/>
    </x:xf>
    <x:xf numFmtId="0" fontId="5" fillId="7" borderId="9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11" fillId="4" borderId="20" xfId="0" applyNumberFormat="1" applyFont="1" applyFill="1" applyBorder="1" applyAlignment="1">
      <x:alignment wrapText="1"/>
    </x:xf>
    <x:xf numFmtId="0" fontId="13" fillId="7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horizontal="center" vertical="top" wrapText="1"/>
    </x:xf>
    <x:xf numFmtId="0" fontId="9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64748B"/>
      </x:font>
      <x:fill>
        <x:patternFill patternType="solid">
          <x:bgColor rgb="FFEEF2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ed465aae64149" /><Relationship Type="http://schemas.openxmlformats.org/officeDocument/2006/relationships/theme" Target="/xl/theme/theme1.xml" Id="R53acb15398c94a01" /><Relationship Type="http://schemas.microsoft.com/office/2022/11/relationships/FeaturePropertyBag" Target="/xl/featurePropertyBag/featurePropertyBag.xml" Id="Rd019701234d84ef1" /><Relationship Type="http://schemas.openxmlformats.org/officeDocument/2006/relationships/sharedStrings" Target="/xl/sharedStrings.xml" Id="R8648616f7a144a0a" /><Relationship Type="http://schemas.openxmlformats.org/officeDocument/2006/relationships/worksheet" Target="/xl/worksheets/sheet1.xml" Id="R953eada3295c4afe" /><Relationship Type="http://schemas.openxmlformats.org/officeDocument/2006/relationships/worksheet" Target="/xl/worksheets/sheet2.xml" Id="R9e9f171b7b2c43dd" /><Relationship Type="http://schemas.openxmlformats.org/officeDocument/2006/relationships/worksheet" Target="/xl/worksheets/sheet3.xml" Id="R6c8f1a36a0db48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ReviewInputTable" displayName="QuestionReviewInputTable" ref="A5:AA155" headerRowCount="1" totalsRowCount="0" totalsRowShown="0">
  <x:autoFilter ref="A5:AA155"/>
  <x:tableColumns count="27">
    <x:tableColumn id="1" name="review_ordinal"/>
    <x:tableColumn id="2" name="question_id"/>
    <x:tableColumn id="3" name="family"/>
    <x:tableColumn id="4" name="source_status"/>
    <x:tableColumn id="5" name="source_section"/>
    <x:tableColumn id="6" name="question_text"/>
    <x:tableColumn id="7" name="review_status"/>
    <x:tableColumn id="8" name="decision_status"/>
    <x:tableColumn id="9" name="change_request_id"/>
    <x:tableColumn id="10" name="question_version"/>
    <x:tableColumn id="11" name="scope_hash"/>
    <x:tableColumn id="12" name="applicability"/>
    <x:tableColumn id="13" name="criticality"/>
    <x:tableColumn id="14" name="information_class"/>
    <x:tableColumn id="15" name="evidence_id"/>
    <x:tableColumn id="16" name="contract_id"/>
    <x:tableColumn id="17" name="policy_id"/>
    <x:tableColumn id="18" name="test_id"/>
    <x:tableColumn id="19" name="scenario_id"/>
    <x:tableColumn id="20" name="observation_window"/>
    <x:tableColumn id="21" name="fail_action"/>
    <x:tableColumn id="22" name="recertification_status"/>
    <x:tableColumn id="23" name="owner_id"/>
    <x:tableColumn id="24" name="approver_id"/>
    <x:tableColumn id="25" name="submitted_at_utc"/>
    <x:tableColumn id="26" name="reviewer_notes"/>
    <x:tableColumn id="27" name="readiness_che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9b12d8da648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4" hidden="0" customWidth="1"/>
    <x:col min="4" max="4" width="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60" t="str">
        <x:v>W0 İlk Dalga Soru İnceleme Çalışma Dosyası</x:v>
      </x:c>
      <x:c r="B1" s="60"/>
      <x:c r="C1" s="60"/>
      <x:c r="D1" s="60"/>
      <x:c r="E1" s="60"/>
      <x:c r="F1" s="60"/>
      <x:c r="G1" s="60"/>
      <x:c r="H1" s="60"/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83"/>
      <x:c r="B3" s="83"/>
      <x:c r="C3" s="83"/>
      <x:c r="D3" s="83"/>
      <x:c r="E3" s="83"/>
      <x:c r="F3" s="83"/>
      <x:c r="G3" s="83"/>
      <x:c r="H3" s="83"/>
    </x:row>
    <x:row r="4" ht="30" customHeight="1">
      <x:c r="A4" s="62" t="str">
        <x:v>GÜVENLİK SINIRI — Bu dosya yalnızca inceleme girdisi toplar. APPROVED, ADOPTED, runtime PASS veya canlı işlem yetkisi üretemez.</x:v>
      </x:c>
      <x:c r="B4" s="63"/>
      <x:c r="C4" s="63"/>
      <x:c r="D4" s="63"/>
      <x:c r="E4" s="63"/>
      <x:c r="F4" s="63"/>
      <x:c r="G4" s="63"/>
      <x:c r="H4" s="64"/>
    </x:row>
    <x:row r="5" ht="30" customHeight="1">
      <x:c r="A5" s="65"/>
      <x:c r="B5" s="66"/>
      <x:c r="C5" s="66"/>
      <x:c r="D5" s="66"/>
      <x:c r="E5" s="66"/>
      <x:c r="F5" s="66"/>
      <x:c r="G5" s="66"/>
      <x:c r="H5" s="67"/>
    </x:row>
    <x:row r="6">
      <x:c r="A6" s="83"/>
      <x:c r="B6" s="83"/>
      <x:c r="C6" s="83"/>
      <x:c r="D6" s="83"/>
      <x:c r="E6" s="83"/>
      <x:c r="F6" s="83"/>
      <x:c r="G6" s="83"/>
      <x:c r="H6" s="83"/>
    </x:row>
    <x:row r="7">
      <x:c r="A7" s="84" t="str">
        <x:v>Durum özeti</x:v>
      </x:c>
      <x:c r="B7" s="85" t="str">
        <x:v>Değer</x:v>
      </x:c>
      <x:c r="C7" s="83"/>
      <x:c r="D7" s="86" t="str">
        <x:v>Kullanım adımları</x:v>
      </x:c>
      <x:c r="E7" s="86"/>
      <x:c r="F7" s="86"/>
      <x:c r="G7" s="86"/>
      <x:c r="H7" s="86"/>
    </x:row>
    <x:row r="8">
      <x:c r="A8" s="87" t="str">
        <x:v>Kaynak soru sayısı</x:v>
      </x:c>
      <x:c r="B8" s="88" t="n">
        <x:f>COUNTA('İnceleme'!$B$6:$B$155)</x:f>
        <x:v>150</x:v>
      </x:c>
      <x:c r="C8" s="83"/>
      <x:c r="D8" s="89" t="str">
        <x:v>1</x:v>
      </x:c>
      <x:c r="E8" s="89" t="str">
        <x:v>İnceleme sayfasında yalnızca sarı/mavi yazılı giriş hücrelerini doldurun.</x:v>
      </x:c>
      <x:c r="F8" s="89"/>
      <x:c r="G8" s="89"/>
      <x:c r="H8" s="89"/>
    </x:row>
    <x:row r="9">
      <x:c r="A9" s="87" t="str">
        <x:v>Boş satır</x:v>
      </x:c>
      <x:c r="B9" s="88" t="n">
        <x:f>COUNTIF('İnceleme'!$AA$6:$AA$155,"BOŞ")</x:f>
        <x:v>150</x:v>
      </x:c>
      <x:c r="C9" s="83"/>
      <x:c r="D9" s="89" t="str">
        <x:v>2</x:v>
      </x:c>
      <x:c r="E9" s="89" t="str">
        <x:v>Kaynak soru ve kimlik sütunlarını değiştirmeyin.</x:v>
      </x:c>
      <x:c r="F9" s="89"/>
      <x:c r="G9" s="89"/>
      <x:c r="H9" s="89"/>
    </x:row>
    <x:row r="10">
      <x:c r="A10" s="87" t="str">
        <x:v>Eksik taslak</x:v>
      </x:c>
      <x:c r="B10" s="88" t="n">
        <x:f>COUNTIF('İnceleme'!$AA$6:$AA$155,"EKSİK")</x:f>
        <x:v>0</x:v>
      </x:c>
      <x:c r="C10" s="83"/>
      <x:c r="D10" s="89" t="str">
        <x:v>3</x:v>
      </x:c>
      <x:c r="E10" s="89" t="str">
        <x:v>Karar durumunu önce DRAFT olarak tutun; tüm kanıtlar hazırsa READY_FOR_REVIEW seçin.</x:v>
      </x:c>
      <x:c r="F10" s="89"/>
      <x:c r="G10" s="89"/>
      <x:c r="H10" s="89"/>
    </x:row>
    <x:row r="11">
      <x:c r="A11" s="87" t="str">
        <x:v>İncelemeye hazır aday</x:v>
      </x:c>
      <x:c r="B11" s="88" t="n">
        <x:f>COUNTIF('İnceleme'!$AA$6:$AA$155,"İNCELEMEYE_HAZIR")</x:f>
        <x:v>0</x:v>
      </x:c>
      <x:c r="C11" s="83"/>
      <x:c r="D11" s="89" t="str">
        <x:v>4</x:v>
      </x:c>
      <x:c r="E11" s="89" t="str">
        <x:v>Owner ve approver aynı kişi olamaz.</x:v>
      </x:c>
      <x:c r="F11" s="89"/>
      <x:c r="G11" s="89"/>
      <x:c r="H11" s="89"/>
    </x:row>
    <x:row r="12">
      <x:c r="A12" s="87" t="str">
        <x:v>Bu dosyada onaylanan</x:v>
      </x:c>
      <x:c r="B12" s="88" t="n">
        <x:f>COUNTIF('İnceleme'!$H$6:$H$155,"APPROVED")</x:f>
        <x:v>0</x:v>
      </x:c>
      <x:c r="C12" s="83"/>
      <x:c r="D12" s="89" t="str">
        <x:v>5</x:v>
      </x:c>
      <x:c r="E12" s="89" t="str">
        <x:v>Scope hash alanına yalnızca küçük harfli 64 karakter SHA-256 yazın.</x:v>
      </x:c>
      <x:c r="F12" s="89"/>
      <x:c r="G12" s="89"/>
      <x:c r="H12" s="89"/>
    </x:row>
    <x:row r="13">
      <x:c r="A13" s="87" t="str">
        <x:v>Adopted</x:v>
      </x:c>
      <x:c r="B13" s="88" t="n">
        <x:f>0</x:f>
        <x:v>0</x:v>
      </x:c>
      <x:c r="C13" s="83"/>
      <x:c r="D13" s="89" t="str">
        <x:v>6</x:v>
      </x:c>
      <x:c r="E13" s="89" t="str">
        <x:v>Zamanı ISO-8601 UTC biçiminde girin: 2026-08-18T09:00:00Z.</x:v>
      </x:c>
      <x:c r="F13" s="89"/>
      <x:c r="G13" s="89"/>
      <x:c r="H13" s="89"/>
    </x:row>
    <x:row r="14">
      <x:c r="A14" s="87" t="str">
        <x:v>LIVE_AUTHORIZED</x:v>
      </x:c>
      <x:c r="B14" s="90" t="b">
        <x:v>0</x:v>
      </x:c>
      <x:c r="C14" s="83"/>
      <x:c r="D14" s="89" t="str">
        <x:v>7</x:v>
      </x:c>
      <x:c r="E14" s="89" t="str">
        <x:v>Yeşil İNCELEMEYE_HAZIR yalnızca otomatik doğrulamaya hazır demektir; onay değildir.</x:v>
      </x:c>
      <x:c r="F14" s="89"/>
      <x:c r="G14" s="89"/>
      <x:c r="H14" s="89"/>
    </x:row>
    <x:row r="15">
      <x:c r="A15" s="83"/>
      <x:c r="B15" s="83"/>
      <x:c r="C15" s="83"/>
      <x:c r="D15" s="83"/>
      <x:c r="E15" s="83"/>
      <x:c r="F15" s="83"/>
      <x:c r="G15" s="83"/>
      <x:c r="H15" s="83"/>
    </x:row>
    <x:row r="16">
      <x:c r="A16" s="91" t="str">
        <x:v>Kaynak ve değişmez güvenlik durumu</x:v>
      </x:c>
      <x:c r="B16" s="91"/>
      <x:c r="C16" s="91"/>
      <x:c r="D16" s="91"/>
      <x:c r="E16" s="91"/>
      <x:c r="F16" s="91"/>
      <x:c r="G16" s="91"/>
      <x:c r="H16" s="91"/>
    </x:row>
    <x:row r="17">
      <x:c r="A17" s="92" t="str">
        <x:v>Kaynak kuyruk</x:v>
      </x:c>
      <x:c r="B17" s="93" t="str">
        <x:v>contracts/questions/first_wave_review_queue.json</x:v>
      </x:c>
      <x:c r="C17" s="83"/>
      <x:c r="D17" s="83"/>
      <x:c r="E17" s="83"/>
      <x:c r="F17" s="83"/>
      <x:c r="G17" s="83"/>
      <x:c r="H17" s="83"/>
    </x:row>
    <x:row r="18">
      <x:c r="A18" s="92" t="str">
        <x:v>Kuyruk sürümü</x:v>
      </x:c>
      <x:c r="B18" s="93" t="str">
        <x:v>0.1.0</x:v>
      </x:c>
      <x:c r="C18" s="83"/>
      <x:c r="D18" s="83"/>
      <x:c r="E18" s="83"/>
      <x:c r="F18" s="83"/>
      <x:c r="G18" s="83"/>
      <x:c r="H18" s="83"/>
    </x:row>
    <x:row r="19">
      <x:c r="A19" s="92" t="str">
        <x:v>Kuyruk SHA-256</x:v>
      </x:c>
      <x:c r="B19" s="93" t="str">
        <x:v>c2b36a809ffacb7a8299397771d678e1d6d77ff0f6f8608c48fe3bad8e7df057</x:v>
      </x:c>
      <x:c r="C19" s="83"/>
      <x:c r="D19" s="83"/>
      <x:c r="E19" s="83"/>
      <x:c r="F19" s="83"/>
      <x:c r="G19" s="83"/>
      <x:c r="H19" s="83"/>
    </x:row>
    <x:row r="20">
      <x:c r="A20" s="92" t="str">
        <x:v>Çalışma dosyası yetkisi</x:v>
      </x:c>
      <x:c r="B20" s="93" t="str">
        <x:v>NON_AUTHORITATIVE_REVIEW_INPUT_TEMPLATE</x:v>
      </x:c>
      <x:c r="C20" s="83"/>
      <x:c r="D20" s="83"/>
      <x:c r="E20" s="83"/>
      <x:c r="F20" s="83"/>
      <x:c r="G20" s="83"/>
      <x:c r="H20" s="83"/>
    </x:row>
    <x:row r="21">
      <x:c r="A21" s="92" t="str">
        <x:v>Başlangıç karar sayısı</x:v>
      </x:c>
      <x:c r="B21" s="93" t="n">
        <x:v>0</x:v>
      </x:c>
      <x:c r="C21" s="83"/>
      <x:c r="D21" s="83"/>
      <x:c r="E21" s="83"/>
      <x:c r="F21" s="83"/>
      <x:c r="G21" s="83"/>
      <x:c r="H21" s="83"/>
    </x:row>
    <x:row r="22">
      <x:c r="A22" s="92" t="str">
        <x:v>Canlı yetki</x:v>
      </x:c>
      <x:c r="B22" s="94" t="b">
        <x:v>0</x:v>
      </x:c>
      <x:c r="C22" s="83"/>
      <x:c r="D22" s="83"/>
      <x:c r="E22" s="83"/>
      <x:c r="F22" s="83"/>
      <x:c r="G22" s="83"/>
      <x:c r="H22" s="83"/>
    </x:row>
    <x:row r="23">
      <x:c r="A23" s="83"/>
      <x:c r="B23" s="83"/>
      <x:c r="C23" s="83"/>
      <x:c r="D23" s="83"/>
      <x:c r="E23" s="83"/>
      <x:c r="F23" s="83"/>
      <x:c r="G23" s="83"/>
      <x:c r="H23" s="83"/>
    </x:row>
    <x:row r="24">
      <x:c r="A24" s="91" t="str">
        <x:v>Renk açıklaması</x:v>
      </x:c>
      <x:c r="B24" s="91"/>
      <x:c r="C24" s="91"/>
      <x:c r="D24" s="91"/>
      <x:c r="E24" s="91"/>
      <x:c r="F24" s="91"/>
      <x:c r="G24" s="91"/>
      <x:c r="H24" s="91"/>
    </x:row>
    <x:row r="25">
      <x:c r="A25" s="95" t="str">
        <x:v>Gri</x:v>
      </x:c>
      <x:c r="B25" s="87" t="str">
        <x:v>Kaynak alan — değiştirmeyin</x:v>
      </x:c>
      <x:c r="C25" s="83"/>
      <x:c r="D25" s="83"/>
      <x:c r="E25" s="83"/>
      <x:c r="F25" s="83"/>
      <x:c r="G25" s="83"/>
      <x:c r="H25" s="83"/>
    </x:row>
    <x:row r="26">
      <x:c r="A26" s="96" t="str">
        <x:v>Sarı + mavi yazı</x:v>
      </x:c>
      <x:c r="B26" s="87" t="str">
        <x:v>Kullanıcı girdisi — doldurulabilir</x:v>
      </x:c>
      <x:c r="C26" s="83"/>
      <x:c r="D26" s="83"/>
      <x:c r="E26" s="83"/>
      <x:c r="F26" s="83"/>
      <x:c r="G26" s="83"/>
      <x:c r="H26" s="83"/>
    </x:row>
    <x:row r="27">
      <x:c r="A27" s="97" t="str">
        <x:v>Açık mavi</x:v>
      </x:c>
      <x:c r="B27" s="87" t="str">
        <x:v>Formül / otomatik kontrol</x:v>
      </x:c>
      <x:c r="C27" s="83"/>
      <x:c r="D27" s="83"/>
      <x:c r="E27" s="83"/>
      <x:c r="F27" s="83"/>
      <x:c r="G27" s="83"/>
      <x:c r="H27" s="83"/>
    </x:row>
    <x:row r="28">
      <x:c r="A28" s="98" t="str">
        <x:v>Yeşil</x:v>
      </x:c>
      <x:c r="B28" s="87" t="str">
        <x:v>İncelemeye hazır aday — onay değildir</x:v>
      </x:c>
      <x:c r="C28" s="83"/>
      <x:c r="D28" s="83"/>
      <x:c r="E28" s="83"/>
      <x:c r="F28" s="83"/>
      <x:c r="G28" s="83"/>
      <x:c r="H28" s="83"/>
    </x:row>
  </x:sheetData>
  <x:mergeCells>
    <x:mergeCell ref="A1:H2"/>
    <x:mergeCell ref="A4:H5"/>
    <x:mergeCell ref="D7:H7"/>
    <x:mergeCell ref="E8:H8"/>
    <x:mergeCell ref="E9:H9"/>
    <x:mergeCell ref="E10:H10"/>
    <x:mergeCell ref="E11:H11"/>
    <x:mergeCell ref="E12:H12"/>
    <x:mergeCell ref="E13:H13"/>
    <x:mergeCell ref="E14:H14"/>
    <x:mergeCell ref="A16:H16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9" hidden="0" customWidth="1"/>
    <x:col min="4" max="4" width="18" hidden="0" customWidth="1"/>
    <x:col min="5" max="5" width="28" hidden="0" customWidth="1"/>
    <x:col min="6" max="6" width="62" hidden="0" customWidth="1"/>
    <x:col min="7" max="7" width="19" hidden="0" customWidth="1"/>
    <x:col min="8" max="8" width="19" hidden="0" customWidth="1"/>
    <x:col min="9" max="9" width="22" hidden="0" customWidth="1"/>
    <x:col min="10" max="10" width="22" hidden="0" customWidth="1"/>
    <x:col min="11" max="11" width="34" hidden="0" customWidth="1"/>
    <x:col min="12" max="12" width="22" hidden="0" customWidth="1"/>
    <x:col min="13" max="13" width="22" hidden="0" customWidth="1"/>
    <x:col min="14" max="14" width="22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4" hidden="0" customWidth="1"/>
    <x:col min="21" max="21" width="24" hidden="0" customWidth="1"/>
    <x:col min="22" max="22" width="24" hidden="0" customWidth="1"/>
    <x:col min="23" max="23" width="18" hidden="0" customWidth="1"/>
    <x:col min="24" max="24" width="18" hidden="0" customWidth="1"/>
    <x:col min="25" max="25" width="25" hidden="0" customWidth="1"/>
    <x:col min="26" max="26" width="36" hidden="0" customWidth="1"/>
    <x:col min="27" max="27" width="24" hidden="0" customWidth="1"/>
  </x:cols>
  <x:sheetData>
    <x:row r="1" ht="32" customHeight="1">
      <x:c r="A1" s="155" t="str">
        <x:v>W0 — 150 Soruluk İlk Dalga İnceleme Girdileri</x:v>
      </x:c>
      <x:c r="B1" s="155"/>
      <x:c r="C1" s="155"/>
      <x:c r="D1" s="155"/>
      <x:c r="E1" s="155"/>
      <x:c r="F1" s="155"/>
      <x:c r="G1" s="155"/>
      <x:c r="H1" s="155"/>
      <x:c r="I1" s="155"/>
      <x:c r="J1" s="155"/>
      <x:c r="K1" s="155"/>
      <x:c r="L1" s="155"/>
      <x:c r="M1" s="155"/>
      <x:c r="N1" s="155"/>
      <x:c r="O1" s="155"/>
      <x:c r="P1" s="155"/>
      <x:c r="Q1" s="155"/>
      <x:c r="R1" s="155"/>
      <x:c r="S1" s="155"/>
      <x:c r="T1" s="155"/>
      <x:c r="U1" s="155"/>
      <x:c r="V1" s="155"/>
      <x:c r="W1" s="155"/>
      <x:c r="X1" s="155"/>
      <x:c r="Y1" s="155"/>
      <x:c r="Z1" s="155"/>
      <x:c r="AA1" s="155"/>
    </x:row>
    <x:row r="2" ht="26" customHeight="1">
      <x:c r="A2" s="156" t="str">
        <x:v>Sarı alanlar girdidir. READY_FOR_REVIEW yalnızca bağımsız onaya gönderim adayıdır; APPROVED veya canlı yetki değildir.</x:v>
      </x:c>
      <x:c r="B2" s="156"/>
      <x:c r="C2" s="156"/>
      <x:c r="D2" s="156"/>
      <x:c r="E2" s="156"/>
      <x:c r="F2" s="156"/>
      <x:c r="G2" s="156"/>
      <x:c r="H2" s="156"/>
      <x:c r="I2" s="156"/>
      <x:c r="J2" s="156"/>
      <x:c r="K2" s="156"/>
      <x:c r="L2" s="156"/>
      <x:c r="M2" s="156"/>
      <x:c r="N2" s="156"/>
      <x:c r="O2" s="156"/>
      <x:c r="P2" s="156"/>
      <x:c r="Q2" s="156"/>
      <x:c r="R2" s="156"/>
      <x:c r="S2" s="156"/>
      <x:c r="T2" s="156"/>
      <x:c r="U2" s="156"/>
      <x:c r="V2" s="156"/>
      <x:c r="W2" s="156"/>
      <x:c r="X2" s="156"/>
      <x:c r="Y2" s="156"/>
      <x:c r="Z2" s="156"/>
      <x:c r="AA2" s="156"/>
    </x:row>
    <x:row r="3" ht="26" customHeight="1">
      <x:c r="A3" s="157" t="str">
        <x:v>Kaynak: W0-FIRST-WAVE-QUESTION-REVIEW v0.1.0 | 150 kayıt | 0 onay | 0 adopted | LIVE_AUTHORIZED=false</x:v>
      </x:c>
      <x:c r="B3" s="157"/>
      <x:c r="C3" s="157"/>
      <x:c r="D3" s="157"/>
      <x:c r="E3" s="157"/>
      <x:c r="F3" s="157"/>
      <x:c r="G3" s="157"/>
      <x:c r="H3" s="157"/>
      <x:c r="I3" s="157"/>
      <x:c r="J3" s="157"/>
      <x:c r="K3" s="157"/>
      <x:c r="L3" s="157"/>
      <x:c r="M3" s="157"/>
      <x:c r="N3" s="157"/>
      <x:c r="O3" s="157"/>
      <x:c r="P3" s="157"/>
      <x:c r="Q3" s="157"/>
      <x:c r="R3" s="157"/>
      <x:c r="S3" s="157"/>
      <x:c r="T3" s="157"/>
      <x:c r="U3" s="157"/>
      <x:c r="V3" s="157"/>
      <x:c r="W3" s="157"/>
      <x:c r="X3" s="157"/>
      <x:c r="Y3" s="157"/>
      <x:c r="Z3" s="157"/>
      <x:c r="AA3" s="157"/>
    </x:row>
    <x:row r="4" ht="24" customHeight="1">
      <x:c r="A4" s="158" t="str">
        <x:v>KAYNAK ALANLAR — DEĞİŞTİRMEYİN</x:v>
      </x:c>
      <x:c r="B4" s="158"/>
      <x:c r="C4" s="158"/>
      <x:c r="D4" s="158"/>
      <x:c r="E4" s="158"/>
      <x:c r="F4" s="158"/>
      <x:c r="G4" s="158"/>
      <x:c r="H4" s="159" t="str">
        <x:v>İNCELEME GİRDİLERİ — DOLDURULABİLİR</x:v>
      </x:c>
      <x:c r="I4" s="159"/>
      <x:c r="J4" s="159"/>
      <x:c r="K4" s="159"/>
      <x:c r="L4" s="159"/>
      <x:c r="M4" s="159"/>
      <x:c r="N4" s="159"/>
      <x:c r="O4" s="159"/>
      <x:c r="P4" s="159"/>
      <x:c r="Q4" s="159"/>
      <x:c r="R4" s="159"/>
      <x:c r="S4" s="159"/>
      <x:c r="T4" s="159"/>
      <x:c r="U4" s="159"/>
      <x:c r="V4" s="159"/>
      <x:c r="W4" s="159"/>
      <x:c r="X4" s="159"/>
      <x:c r="Y4" s="159"/>
      <x:c r="Z4" s="159"/>
      <x:c r="AA4" s="160" t="str">
        <x:v>OTOMATİK</x:v>
      </x:c>
    </x:row>
    <x:row r="5" ht="42" customHeight="1">
      <x:c r="A5" s="161" t="str">
        <x:v>review_ordinal</x:v>
      </x:c>
      <x:c r="B5" s="161" t="str">
        <x:v>question_id</x:v>
      </x:c>
      <x:c r="C5" s="161" t="str">
        <x:v>family</x:v>
      </x:c>
      <x:c r="D5" s="161" t="str">
        <x:v>source_status</x:v>
      </x:c>
      <x:c r="E5" s="161" t="str">
        <x:v>source_section</x:v>
      </x:c>
      <x:c r="F5" s="161" t="str">
        <x:v>question_text</x:v>
      </x:c>
      <x:c r="G5" s="161" t="str">
        <x:v>review_status</x:v>
      </x:c>
      <x:c r="H5" s="161" t="str">
        <x:v>decision_status</x:v>
      </x:c>
      <x:c r="I5" s="161" t="str">
        <x:v>change_request_id</x:v>
      </x:c>
      <x:c r="J5" s="161" t="str">
        <x:v>question_version</x:v>
      </x:c>
      <x:c r="K5" s="161" t="str">
        <x:v>scope_hash</x:v>
      </x:c>
      <x:c r="L5" s="161" t="str">
        <x:v>applicability</x:v>
      </x:c>
      <x:c r="M5" s="161" t="str">
        <x:v>criticality</x:v>
      </x:c>
      <x:c r="N5" s="161" t="str">
        <x:v>information_class</x:v>
      </x:c>
      <x:c r="O5" s="161" t="str">
        <x:v>evidence_id</x:v>
      </x:c>
      <x:c r="P5" s="161" t="str">
        <x:v>contract_id</x:v>
      </x:c>
      <x:c r="Q5" s="161" t="str">
        <x:v>policy_id</x:v>
      </x:c>
      <x:c r="R5" s="161" t="str">
        <x:v>test_id</x:v>
      </x:c>
      <x:c r="S5" s="161" t="str">
        <x:v>scenario_id</x:v>
      </x:c>
      <x:c r="T5" s="161" t="str">
        <x:v>observation_window</x:v>
      </x:c>
      <x:c r="U5" s="161" t="str">
        <x:v>fail_action</x:v>
      </x:c>
      <x:c r="V5" s="161" t="str">
        <x:v>recertification_status</x:v>
      </x:c>
      <x:c r="W5" s="161" t="str">
        <x:v>owner_id</x:v>
      </x:c>
      <x:c r="X5" s="161" t="str">
        <x:v>approver_id</x:v>
      </x:c>
      <x:c r="Y5" s="161" t="str">
        <x:v>submitted_at_utc</x:v>
      </x:c>
      <x:c r="Z5" s="161" t="str">
        <x:v>reviewer_notes</x:v>
      </x:c>
      <x:c r="AA5" s="161" t="str">
        <x:v>readiness_check</x:v>
      </x:c>
    </x:row>
    <x:row r="6" ht="38" customHeight="1">
      <x:c r="A6" s="162" t="n">
        <x:v>1</x:v>
      </x:c>
      <x:c r="B6" s="163" t="str">
        <x:v>SV-001</x:v>
      </x:c>
      <x:c r="C6" s="163" t="str">
        <x:v>SV</x:v>
      </x:c>
      <x:c r="D6" s="163" t="str">
        <x:v>YENİ / ÖNERİLEN</x:v>
      </x:c>
      <x:c r="E6" s="163" t="str">
        <x:v>İstatistiksel Geçerlilik ve Ardışık Çıkarım — SV</x:v>
      </x:c>
      <x:c r="F6" s="164" t="str">
        <x:v>Araştırmada denenmiş tüm strateji, özellik, hedef, ufuk ve parametrelerin birleşik trial evreni değişmez biçimde kaydediliyor mu?</x:v>
      </x:c>
      <x:c r="G6" s="163" t="str">
        <x:v>REVIEW_REQUIRED</x:v>
      </x:c>
      <x:c r="H6" s="165"/>
      <x:c r="I6" s="166"/>
      <x:c r="J6" s="166"/>
      <x:c r="K6" s="166"/>
      <x:c r="L6" s="166"/>
      <x:c r="M6" s="166"/>
      <x:c r="N6" s="166"/>
      <x:c r="O6" s="166"/>
      <x:c r="P6" s="166"/>
      <x:c r="Q6" s="166"/>
      <x:c r="R6" s="166"/>
      <x:c r="S6" s="166"/>
      <x:c r="T6" s="166"/>
      <x:c r="U6" s="166"/>
      <x:c r="V6" s="166"/>
      <x:c r="W6" s="166"/>
      <x:c r="X6" s="166"/>
      <x:c r="Y6" s="166"/>
      <x:c r="Z6" s="167"/>
      <x:c r="AA6" s="168" t="str">
        <x:f>IF(H6="","BOŞ",IF(AND(H6="READY_FOR_REVIEW",I6&lt;&gt;"",J6&lt;&gt;"",LEN(K6)=64,L6&lt;&gt;"",M6&lt;&gt;"",N6&lt;&gt;"",O6&lt;&gt;"",P6&lt;&gt;"",Q6&lt;&gt;"",R6&lt;&gt;"",S6&lt;&gt;"",T6&lt;&gt;"",U6&lt;&gt;"",V6&lt;&gt;"",W6&lt;&gt;"",X6&lt;&gt;"",W6&lt;&gt;X6,Y6&lt;&gt;""),"İNCELEMEYE_HAZIR","EKSİK"))</x:f>
        <x:v>BOŞ</x:v>
      </x:c>
    </x:row>
    <x:row r="7" ht="38" customHeight="1">
      <x:c r="A7" s="169" t="n">
        <x:v>2</x:v>
      </x:c>
      <x:c r="B7" s="170" t="str">
        <x:v>SV-002</x:v>
      </x:c>
      <x:c r="C7" s="170" t="str">
        <x:v>SV</x:v>
      </x:c>
      <x:c r="D7" s="170" t="str">
        <x:v>YENİ / ÖNERİLEN</x:v>
      </x:c>
      <x:c r="E7" s="170" t="str">
        <x:v>İstatistiksel Geçerlilik ve Ardışık Çıkarım — SV</x:v>
      </x:c>
      <x:c r="F7" s="171" t="str">
        <x:v>İnsan tarafından manuel elenen denemeler de search budget ve selection pressure hesabına giriyor mu?</x:v>
      </x:c>
      <x:c r="G7" s="170" t="str">
        <x:v>REVIEW_REQUIRED</x:v>
      </x:c>
      <x:c r="H7" s="172"/>
      <x:c r="I7" s="173"/>
      <x:c r="J7" s="173"/>
      <x:c r="K7" s="173"/>
      <x:c r="L7" s="173"/>
      <x:c r="M7" s="173"/>
      <x:c r="N7" s="173"/>
      <x:c r="O7" s="173"/>
      <x:c r="P7" s="173"/>
      <x:c r="Q7" s="173"/>
      <x:c r="R7" s="173"/>
      <x:c r="S7" s="173"/>
      <x:c r="T7" s="173"/>
      <x:c r="U7" s="173"/>
      <x:c r="V7" s="173"/>
      <x:c r="W7" s="173"/>
      <x:c r="X7" s="173"/>
      <x:c r="Y7" s="173"/>
      <x:c r="Z7" s="174"/>
      <x:c r="AA7" s="175" t="str">
        <x:f>IF(H7="","BOŞ",IF(AND(H7="READY_FOR_REVIEW",I7&lt;&gt;"",J7&lt;&gt;"",LEN(K7)=64,L7&lt;&gt;"",M7&lt;&gt;"",N7&lt;&gt;"",O7&lt;&gt;"",P7&lt;&gt;"",Q7&lt;&gt;"",R7&lt;&gt;"",S7&lt;&gt;"",T7&lt;&gt;"",U7&lt;&gt;"",V7&lt;&gt;"",W7&lt;&gt;"",X7&lt;&gt;"",W7&lt;&gt;X7,Y7&lt;&gt;""),"İNCELEMEYE_HAZIR","EKSİK"))</x:f>
        <x:v>BOŞ</x:v>
      </x:c>
    </x:row>
    <x:row r="8" ht="38" customHeight="1">
      <x:c r="A8" s="169" t="n">
        <x:v>3</x:v>
      </x:c>
      <x:c r="B8" s="170" t="str">
        <x:v>SV-003</x:v>
      </x:c>
      <x:c r="C8" s="170" t="str">
        <x:v>SV</x:v>
      </x:c>
      <x:c r="D8" s="170" t="str">
        <x:v>YENİ / ÖNERİLEN</x:v>
      </x:c>
      <x:c r="E8" s="170" t="str">
        <x:v>İstatistiksel Geçerlilik ve Ardışık Çıkarım — SV</x:v>
      </x:c>
      <x:c r="F8" s="171" t="str">
        <x:v>White Reality Check veya eşdeğer veri-snooping düzeltmesinin uygulanabilirliği politika ile belirlenmiş mi?</x:v>
      </x:c>
      <x:c r="G8" s="170" t="str">
        <x:v>REVIEW_REQUIRED</x:v>
      </x:c>
      <x:c r="H8" s="172"/>
      <x:c r="I8" s="173"/>
      <x:c r="J8" s="173"/>
      <x:c r="K8" s="173"/>
      <x:c r="L8" s="173"/>
      <x:c r="M8" s="173"/>
      <x:c r="N8" s="173"/>
      <x:c r="O8" s="173"/>
      <x:c r="P8" s="173"/>
      <x:c r="Q8" s="173"/>
      <x:c r="R8" s="173"/>
      <x:c r="S8" s="173"/>
      <x:c r="T8" s="173"/>
      <x:c r="U8" s="173"/>
      <x:c r="V8" s="173"/>
      <x:c r="W8" s="173"/>
      <x:c r="X8" s="173"/>
      <x:c r="Y8" s="173"/>
      <x:c r="Z8" s="174"/>
      <x:c r="AA8" s="175" t="str">
        <x:f>IF(H8="","BOŞ",IF(AND(H8="READY_FOR_REVIEW",I8&lt;&gt;"",J8&lt;&gt;"",LEN(K8)=64,L8&lt;&gt;"",M8&lt;&gt;"",N8&lt;&gt;"",O8&lt;&gt;"",P8&lt;&gt;"",Q8&lt;&gt;"",R8&lt;&gt;"",S8&lt;&gt;"",T8&lt;&gt;"",U8&lt;&gt;"",V8&lt;&gt;"",W8&lt;&gt;"",X8&lt;&gt;"",W8&lt;&gt;X8,Y8&lt;&gt;""),"İNCELEMEYE_HAZIR","EKSİK"))</x:f>
        <x:v>BOŞ</x:v>
      </x:c>
    </x:row>
    <x:row r="9" ht="38" customHeight="1">
      <x:c r="A9" s="169" t="n">
        <x:v>4</x:v>
      </x:c>
      <x:c r="B9" s="170" t="str">
        <x:v>SV-004</x:v>
      </x:c>
      <x:c r="C9" s="170" t="str">
        <x:v>SV</x:v>
      </x:c>
      <x:c r="D9" s="170" t="str">
        <x:v>YENİ / ÖNERİLEN</x:v>
      </x:c>
      <x:c r="E9" s="170" t="str">
        <x:v>İstatistiksel Geçerlilik ve Ardışık Çıkarım — SV</x:v>
      </x:c>
      <x:c r="F9" s="171" t="str">
        <x:v>Hansen SPA veya eşdeğer üstün tahmin testi, çok sayıdaki zayıf alternatifin etkisini ele alıyor mu?</x:v>
      </x:c>
      <x:c r="G9" s="170" t="str">
        <x:v>REVIEW_REQUIRED</x:v>
      </x:c>
      <x:c r="H9" s="172"/>
      <x:c r="I9" s="173"/>
      <x:c r="J9" s="173"/>
      <x:c r="K9" s="173"/>
      <x:c r="L9" s="173"/>
      <x:c r="M9" s="173"/>
      <x:c r="N9" s="173"/>
      <x:c r="O9" s="173"/>
      <x:c r="P9" s="173"/>
      <x:c r="Q9" s="173"/>
      <x:c r="R9" s="173"/>
      <x:c r="S9" s="173"/>
      <x:c r="T9" s="173"/>
      <x:c r="U9" s="173"/>
      <x:c r="V9" s="173"/>
      <x:c r="W9" s="173"/>
      <x:c r="X9" s="173"/>
      <x:c r="Y9" s="173"/>
      <x:c r="Z9" s="174"/>
      <x:c r="AA9" s="175" t="str">
        <x:f>IF(H9="","BOŞ",IF(AND(H9="READY_FOR_REVIEW",I9&lt;&gt;"",J9&lt;&gt;"",LEN(K9)=64,L9&lt;&gt;"",M9&lt;&gt;"",N9&lt;&gt;"",O9&lt;&gt;"",P9&lt;&gt;"",Q9&lt;&gt;"",R9&lt;&gt;"",S9&lt;&gt;"",T9&lt;&gt;"",U9&lt;&gt;"",V9&lt;&gt;"",W9&lt;&gt;"",X9&lt;&gt;"",W9&lt;&gt;X9,Y9&lt;&gt;""),"İNCELEMEYE_HAZIR","EKSİK"))</x:f>
        <x:v>BOŞ</x:v>
      </x:c>
    </x:row>
    <x:row r="10" ht="38" customHeight="1">
      <x:c r="A10" s="169" t="n">
        <x:v>5</x:v>
      </x:c>
      <x:c r="B10" s="170" t="str">
        <x:v>SV-005</x:v>
      </x:c>
      <x:c r="C10" s="170" t="str">
        <x:v>SV</x:v>
      </x:c>
      <x:c r="D10" s="170" t="str">
        <x:v>YENİ / ÖNERİLEN</x:v>
      </x:c>
      <x:c r="E10" s="170" t="str">
        <x:v>İstatistiksel Geçerlilik ve Ardışık Çıkarım — SV</x:v>
      </x:c>
      <x:c r="F10" s="171" t="str">
        <x:v>DSR hesabı deneme sayısı, çarpıklık, basıklık ve seri bağımlılık girdilerini eksiksiz kullanıyor mu?</x:v>
      </x:c>
      <x:c r="G10" s="170" t="str">
        <x:v>REVIEW_REQUIRED</x:v>
      </x:c>
      <x:c r="H10" s="172"/>
      <x:c r="I10" s="173"/>
      <x:c r="J10" s="173"/>
      <x:c r="K10" s="173"/>
      <x:c r="L10" s="173"/>
      <x:c r="M10" s="173"/>
      <x:c r="N10" s="173"/>
      <x:c r="O10" s="173"/>
      <x:c r="P10" s="173"/>
      <x:c r="Q10" s="173"/>
      <x:c r="R10" s="173"/>
      <x:c r="S10" s="173"/>
      <x:c r="T10" s="173"/>
      <x:c r="U10" s="173"/>
      <x:c r="V10" s="173"/>
      <x:c r="W10" s="173"/>
      <x:c r="X10" s="173"/>
      <x:c r="Y10" s="173"/>
      <x:c r="Z10" s="174"/>
      <x:c r="AA10" s="175" t="str">
        <x:f>IF(H10="","BOŞ",IF(AND(H10="READY_FOR_REVIEW",I10&lt;&gt;"",J10&lt;&gt;"",LEN(K10)=64,L10&lt;&gt;"",M10&lt;&gt;"",N10&lt;&gt;"",O10&lt;&gt;"",P10&lt;&gt;"",Q10&lt;&gt;"",R10&lt;&gt;"",S10&lt;&gt;"",T10&lt;&gt;"",U10&lt;&gt;"",V10&lt;&gt;"",W10&lt;&gt;"",X10&lt;&gt;"",W10&lt;&gt;X10,Y10&lt;&gt;""),"İNCELEMEYE_HAZIR","EKSİK"))</x:f>
        <x:v>BOŞ</x:v>
      </x:c>
    </x:row>
    <x:row r="11" ht="38" customHeight="1">
      <x:c r="A11" s="169" t="n">
        <x:v>6</x:v>
      </x:c>
      <x:c r="B11" s="170" t="str">
        <x:v>SV-006</x:v>
      </x:c>
      <x:c r="C11" s="170" t="str">
        <x:v>SV</x:v>
      </x:c>
      <x:c r="D11" s="170" t="str">
        <x:v>YENİ / ÖNERİLEN</x:v>
      </x:c>
      <x:c r="E11" s="170" t="str">
        <x:v>İstatistiksel Geçerlilik ve Ardışık Çıkarım — SV</x:v>
      </x:c>
      <x:c r="F11" s="171" t="str">
        <x:v>PBO/CSCV tasarımı zamansal bağımlılığı ve strateji seçim sürecini bozmayacak şekilde uygulanıyor mu?</x:v>
      </x:c>
      <x:c r="G11" s="170" t="str">
        <x:v>REVIEW_REQUIRED</x:v>
      </x:c>
      <x:c r="H11" s="172"/>
      <x:c r="I11" s="173"/>
      <x:c r="J11" s="173"/>
      <x:c r="K11" s="173"/>
      <x:c r="L11" s="173"/>
      <x:c r="M11" s="173"/>
      <x:c r="N11" s="173"/>
      <x:c r="O11" s="173"/>
      <x:c r="P11" s="173"/>
      <x:c r="Q11" s="173"/>
      <x:c r="R11" s="173"/>
      <x:c r="S11" s="173"/>
      <x:c r="T11" s="173"/>
      <x:c r="U11" s="173"/>
      <x:c r="V11" s="173"/>
      <x:c r="W11" s="173"/>
      <x:c r="X11" s="173"/>
      <x:c r="Y11" s="173"/>
      <x:c r="Z11" s="174"/>
      <x:c r="AA11" s="175" t="str">
        <x:f>IF(H11="","BOŞ",IF(AND(H11="READY_FOR_REVIEW",I11&lt;&gt;"",J11&lt;&gt;"",LEN(K11)=64,L11&lt;&gt;"",M11&lt;&gt;"",N11&lt;&gt;"",O11&lt;&gt;"",P11&lt;&gt;"",Q11&lt;&gt;"",R11&lt;&gt;"",S11&lt;&gt;"",T11&lt;&gt;"",U11&lt;&gt;"",V11&lt;&gt;"",W11&lt;&gt;"",X11&lt;&gt;"",W11&lt;&gt;X11,Y11&lt;&gt;""),"İNCELEMEYE_HAZIR","EKSİK"))</x:f>
        <x:v>BOŞ</x:v>
      </x:c>
    </x:row>
    <x:row r="12" ht="38" customHeight="1">
      <x:c r="A12" s="169" t="n">
        <x:v>7</x:v>
      </x:c>
      <x:c r="B12" s="170" t="str">
        <x:v>SV-007</x:v>
      </x:c>
      <x:c r="C12" s="170" t="str">
        <x:v>SV</x:v>
      </x:c>
      <x:c r="D12" s="170" t="str">
        <x:v>YENİ / ÖNERİLEN</x:v>
      </x:c>
      <x:c r="E12" s="170" t="str">
        <x:v>İstatistiksel Geçerlilik ve Ardışık Çıkarım — SV</x:v>
      </x:c>
      <x:c r="F12" s="171" t="str">
        <x:v>Bootstrap veya yeniden örnekleme blok uzunluğu önceden tanımlı ve bağımlılık yapısına uygun mu?</x:v>
      </x:c>
      <x:c r="G12" s="170" t="str">
        <x:v>REVIEW_REQUIRED</x:v>
      </x:c>
      <x:c r="H12" s="172"/>
      <x:c r="I12" s="173"/>
      <x:c r="J12" s="173"/>
      <x:c r="K12" s="173"/>
      <x:c r="L12" s="173"/>
      <x:c r="M12" s="173"/>
      <x:c r="N12" s="173"/>
      <x:c r="O12" s="173"/>
      <x:c r="P12" s="173"/>
      <x:c r="Q12" s="173"/>
      <x:c r="R12" s="173"/>
      <x:c r="S12" s="173"/>
      <x:c r="T12" s="173"/>
      <x:c r="U12" s="173"/>
      <x:c r="V12" s="173"/>
      <x:c r="W12" s="173"/>
      <x:c r="X12" s="173"/>
      <x:c r="Y12" s="173"/>
      <x:c r="Z12" s="174"/>
      <x:c r="AA12" s="175" t="str">
        <x:f>IF(H12="","BOŞ",IF(AND(H12="READY_FOR_REVIEW",I12&lt;&gt;"",J12&lt;&gt;"",LEN(K12)=64,L12&lt;&gt;"",M12&lt;&gt;"",N12&lt;&gt;"",O12&lt;&gt;"",P12&lt;&gt;"",Q12&lt;&gt;"",R12&lt;&gt;"",S12&lt;&gt;"",T12&lt;&gt;"",U12&lt;&gt;"",V12&lt;&gt;"",W12&lt;&gt;"",X12&lt;&gt;"",W12&lt;&gt;X12,Y12&lt;&gt;""),"İNCELEMEYE_HAZIR","EKSİK"))</x:f>
        <x:v>BOŞ</x:v>
      </x:c>
    </x:row>
    <x:row r="13" ht="38" customHeight="1">
      <x:c r="A13" s="169" t="n">
        <x:v>8</x:v>
      </x:c>
      <x:c r="B13" s="170" t="str">
        <x:v>SV-008</x:v>
      </x:c>
      <x:c r="C13" s="170" t="str">
        <x:v>SV</x:v>
      </x:c>
      <x:c r="D13" s="170" t="str">
        <x:v>YENİ / ÖNERİLEN</x:v>
      </x:c>
      <x:c r="E13" s="170" t="str">
        <x:v>İstatistiksel Geçerlilik ve Ardışık Çıkarım — SV</x:v>
      </x:c>
      <x:c r="F13" s="171" t="str">
        <x:v>Çapraz varlık, çapraz strateji ve ortak olay bağımlılığı etkin örnek büyüklüğünde hesaba katılıyor mu?</x:v>
      </x:c>
      <x:c r="G13" s="170" t="str">
        <x:v>REVIEW_REQUIRED</x:v>
      </x:c>
      <x:c r="H13" s="172"/>
      <x:c r="I13" s="173"/>
      <x:c r="J13" s="173"/>
      <x:c r="K13" s="173"/>
      <x:c r="L13" s="173"/>
      <x:c r="M13" s="173"/>
      <x:c r="N13" s="173"/>
      <x:c r="O13" s="173"/>
      <x:c r="P13" s="173"/>
      <x:c r="Q13" s="173"/>
      <x:c r="R13" s="173"/>
      <x:c r="S13" s="173"/>
      <x:c r="T13" s="173"/>
      <x:c r="U13" s="173"/>
      <x:c r="V13" s="173"/>
      <x:c r="W13" s="173"/>
      <x:c r="X13" s="173"/>
      <x:c r="Y13" s="173"/>
      <x:c r="Z13" s="174"/>
      <x:c r="AA13" s="175" t="str">
        <x:f>IF(H13="","BOŞ",IF(AND(H13="READY_FOR_REVIEW",I13&lt;&gt;"",J13&lt;&gt;"",LEN(K13)=64,L13&lt;&gt;"",M13&lt;&gt;"",N13&lt;&gt;"",O13&lt;&gt;"",P13&lt;&gt;"",Q13&lt;&gt;"",R13&lt;&gt;"",S13&lt;&gt;"",T13&lt;&gt;"",U13&lt;&gt;"",V13&lt;&gt;"",W13&lt;&gt;"",X13&lt;&gt;"",W13&lt;&gt;X13,Y13&lt;&gt;""),"İNCELEMEYE_HAZIR","EKSİK"))</x:f>
        <x:v>BOŞ</x:v>
      </x:c>
    </x:row>
    <x:row r="14" ht="38" customHeight="1">
      <x:c r="A14" s="169" t="n">
        <x:v>9</x:v>
      </x:c>
      <x:c r="B14" s="170" t="str">
        <x:v>SV-009</x:v>
      </x:c>
      <x:c r="C14" s="170" t="str">
        <x:v>SV</x:v>
      </x:c>
      <x:c r="D14" s="170" t="str">
        <x:v>YENİ / ÖNERİLEN</x:v>
      </x:c>
      <x:c r="E14" s="170" t="str">
        <x:v>İstatistiksel Geçerlilik ve Ardışık Çıkarım — SV</x:v>
      </x:c>
      <x:c r="F14" s="171" t="str">
        <x:v>Örtüşen label ve pozisyon süreleri bağımsız gözlemmiş gibi sayılmıyor mu?</x:v>
      </x:c>
      <x:c r="G14" s="170" t="str">
        <x:v>REVIEW_REQUIRED</x:v>
      </x:c>
      <x:c r="H14" s="172"/>
      <x:c r="I14" s="173"/>
      <x:c r="J14" s="173"/>
      <x:c r="K14" s="173"/>
      <x:c r="L14" s="173"/>
      <x:c r="M14" s="173"/>
      <x:c r="N14" s="173"/>
      <x:c r="O14" s="173"/>
      <x:c r="P14" s="173"/>
      <x:c r="Q14" s="173"/>
      <x:c r="R14" s="173"/>
      <x:c r="S14" s="173"/>
      <x:c r="T14" s="173"/>
      <x:c r="U14" s="173"/>
      <x:c r="V14" s="173"/>
      <x:c r="W14" s="173"/>
      <x:c r="X14" s="173"/>
      <x:c r="Y14" s="173"/>
      <x:c r="Z14" s="174"/>
      <x:c r="AA14" s="175" t="str">
        <x:f>IF(H14="","BOŞ",IF(AND(H14="READY_FOR_REVIEW",I14&lt;&gt;"",J14&lt;&gt;"",LEN(K14)=64,L14&lt;&gt;"",M14&lt;&gt;"",N14&lt;&gt;"",O14&lt;&gt;"",P14&lt;&gt;"",Q14&lt;&gt;"",R14&lt;&gt;"",S14&lt;&gt;"",T14&lt;&gt;"",U14&lt;&gt;"",V14&lt;&gt;"",W14&lt;&gt;"",X14&lt;&gt;"",W14&lt;&gt;X14,Y14&lt;&gt;""),"İNCELEMEYE_HAZIR","EKSİK"))</x:f>
        <x:v>BOŞ</x:v>
      </x:c>
    </x:row>
    <x:row r="15" ht="38" customHeight="1">
      <x:c r="A15" s="169" t="n">
        <x:v>10</x:v>
      </x:c>
      <x:c r="B15" s="170" t="str">
        <x:v>SV-010</x:v>
      </x:c>
      <x:c r="C15" s="170" t="str">
        <x:v>SV</x:v>
      </x:c>
      <x:c r="D15" s="170" t="str">
        <x:v>YENİ / ÖNERİLEN</x:v>
      </x:c>
      <x:c r="E15" s="170" t="str">
        <x:v>İstatistiksel Geçerlilik ve Ardışık Çıkarım — SV</x:v>
      </x:c>
      <x:c r="F15" s="171" t="str">
        <x:v>Canlı performansın sürekli izlenmesi optional stopping ve repeated testing yanlılığına karşı düzeltiliyor mu?</x:v>
      </x:c>
      <x:c r="G15" s="170" t="str">
        <x:v>REVIEW_REQUIRED</x:v>
      </x:c>
      <x:c r="H15" s="172"/>
      <x:c r="I15" s="173"/>
      <x:c r="J15" s="173"/>
      <x:c r="K15" s="173"/>
      <x:c r="L15" s="173"/>
      <x:c r="M15" s="173"/>
      <x:c r="N15" s="173"/>
      <x:c r="O15" s="173"/>
      <x:c r="P15" s="173"/>
      <x:c r="Q15" s="173"/>
      <x:c r="R15" s="173"/>
      <x:c r="S15" s="173"/>
      <x:c r="T15" s="173"/>
      <x:c r="U15" s="173"/>
      <x:c r="V15" s="173"/>
      <x:c r="W15" s="173"/>
      <x:c r="X15" s="173"/>
      <x:c r="Y15" s="173"/>
      <x:c r="Z15" s="174"/>
      <x:c r="AA15" s="175" t="str">
        <x:f>IF(H15="","BOŞ",IF(AND(H15="READY_FOR_REVIEW",I15&lt;&gt;"",J15&lt;&gt;"",LEN(K15)=64,L15&lt;&gt;"",M15&lt;&gt;"",N15&lt;&gt;"",O15&lt;&gt;"",P15&lt;&gt;"",Q15&lt;&gt;"",R15&lt;&gt;"",S15&lt;&gt;"",T15&lt;&gt;"",U15&lt;&gt;"",V15&lt;&gt;"",W15&lt;&gt;"",X15&lt;&gt;"",W15&lt;&gt;X15,Y15&lt;&gt;""),"İNCELEMEYE_HAZIR","EKSİK"))</x:f>
        <x:v>BOŞ</x:v>
      </x:c>
    </x:row>
    <x:row r="16" ht="38" customHeight="1">
      <x:c r="A16" s="169" t="n">
        <x:v>11</x:v>
      </x:c>
      <x:c r="B16" s="170" t="str">
        <x:v>SV-011</x:v>
      </x:c>
      <x:c r="C16" s="170" t="str">
        <x:v>SV</x:v>
      </x:c>
      <x:c r="D16" s="170" t="str">
        <x:v>YENİ / ÖNERİLEN</x:v>
      </x:c>
      <x:c r="E16" s="170" t="str">
        <x:v>İstatistiksel Geçerlilik ve Ardışık Çıkarım — SV</x:v>
      </x:c>
      <x:c r="F16" s="171" t="str">
        <x:v>Birden fazla hedef, zaman ufku, rejim ve metriğin birlikte test edilmesi çoklu test ailesine dahil mi?</x:v>
      </x:c>
      <x:c r="G16" s="170" t="str">
        <x:v>REVIEW_REQUIRED</x:v>
      </x:c>
      <x:c r="H16" s="172"/>
      <x:c r="I16" s="173"/>
      <x:c r="J16" s="173"/>
      <x:c r="K16" s="173"/>
      <x:c r="L16" s="173"/>
      <x:c r="M16" s="173"/>
      <x:c r="N16" s="173"/>
      <x:c r="O16" s="173"/>
      <x:c r="P16" s="173"/>
      <x:c r="Q16" s="173"/>
      <x:c r="R16" s="173"/>
      <x:c r="S16" s="173"/>
      <x:c r="T16" s="173"/>
      <x:c r="U16" s="173"/>
      <x:c r="V16" s="173"/>
      <x:c r="W16" s="173"/>
      <x:c r="X16" s="173"/>
      <x:c r="Y16" s="173"/>
      <x:c r="Z16" s="174"/>
      <x:c r="AA16" s="175" t="str">
        <x:f>IF(H16="","BOŞ",IF(AND(H16="READY_FOR_REVIEW",I16&lt;&gt;"",J16&lt;&gt;"",LEN(K16)=64,L16&lt;&gt;"",M16&lt;&gt;"",N16&lt;&gt;"",O16&lt;&gt;"",P16&lt;&gt;"",Q16&lt;&gt;"",R16&lt;&gt;"",S16&lt;&gt;"",T16&lt;&gt;"",U16&lt;&gt;"",V16&lt;&gt;"",W16&lt;&gt;"",X16&lt;&gt;"",W16&lt;&gt;X16,Y16&lt;&gt;""),"İNCELEMEYE_HAZIR","EKSİK"))</x:f>
        <x:v>BOŞ</x:v>
      </x:c>
    </x:row>
    <x:row r="17" ht="38" customHeight="1">
      <x:c r="A17" s="169" t="n">
        <x:v>12</x:v>
      </x:c>
      <x:c r="B17" s="170" t="str">
        <x:v>SV-012</x:v>
      </x:c>
      <x:c r="C17" s="170" t="str">
        <x:v>SV</x:v>
      </x:c>
      <x:c r="D17" s="170" t="str">
        <x:v>YENİ / ÖNERİLEN</x:v>
      </x:c>
      <x:c r="E17" s="170" t="str">
        <x:v>İstatistiksel Geçerlilik ve Ardışık Çıkarım — SV</x:v>
      </x:c>
      <x:c r="F17" s="171" t="str">
        <x:v>Kazanan stratejinin güven aralığı seçim yapıldıktan sonra selection-adjusted olarak yeniden hesaplanıyor mu?</x:v>
      </x:c>
      <x:c r="G17" s="170" t="str">
        <x:v>REVIEW_REQUIRED</x:v>
      </x:c>
      <x:c r="H17" s="172"/>
      <x:c r="I17" s="173"/>
      <x:c r="J17" s="173"/>
      <x:c r="K17" s="173"/>
      <x:c r="L17" s="173"/>
      <x:c r="M17" s="173"/>
      <x:c r="N17" s="173"/>
      <x:c r="O17" s="173"/>
      <x:c r="P17" s="173"/>
      <x:c r="Q17" s="173"/>
      <x:c r="R17" s="173"/>
      <x:c r="S17" s="173"/>
      <x:c r="T17" s="173"/>
      <x:c r="U17" s="173"/>
      <x:c r="V17" s="173"/>
      <x:c r="W17" s="173"/>
      <x:c r="X17" s="173"/>
      <x:c r="Y17" s="173"/>
      <x:c r="Z17" s="174"/>
      <x:c r="AA17" s="175" t="str">
        <x:f>IF(H17="","BOŞ",IF(AND(H17="READY_FOR_REVIEW",I17&lt;&gt;"",J17&lt;&gt;"",LEN(K17)=64,L17&lt;&gt;"",M17&lt;&gt;"",N17&lt;&gt;"",O17&lt;&gt;"",P17&lt;&gt;"",Q17&lt;&gt;"",R17&lt;&gt;"",S17&lt;&gt;"",T17&lt;&gt;"",U17&lt;&gt;"",V17&lt;&gt;"",W17&lt;&gt;"",X17&lt;&gt;"",W17&lt;&gt;X17,Y17&lt;&gt;""),"İNCELEMEYE_HAZIR","EKSİK"))</x:f>
        <x:v>BOŞ</x:v>
      </x:c>
    </x:row>
    <x:row r="18" ht="38" customHeight="1">
      <x:c r="A18" s="169" t="n">
        <x:v>13</x:v>
      </x:c>
      <x:c r="B18" s="170" t="str">
        <x:v>SV-013</x:v>
      </x:c>
      <x:c r="C18" s="170" t="str">
        <x:v>SV</x:v>
      </x:c>
      <x:c r="D18" s="170" t="str">
        <x:v>YENİ / ÖNERİLEN</x:v>
      </x:c>
      <x:c r="E18" s="170" t="str">
        <x:v>İstatistiksel Geçerlilik ve Ardışık Çıkarım — SV</x:v>
      </x:c>
      <x:c r="F18" s="171" t="str">
        <x:v>Benchmark testten önce dondurulmuş, uygulanabilir ve aynı maliyet/kapasite varsayımlarına tabi mi?</x:v>
      </x:c>
      <x:c r="G18" s="170" t="str">
        <x:v>REVIEW_REQUIRED</x:v>
      </x:c>
      <x:c r="H18" s="172"/>
      <x:c r="I18" s="173"/>
      <x:c r="J18" s="173"/>
      <x:c r="K18" s="173"/>
      <x:c r="L18" s="173"/>
      <x:c r="M18" s="173"/>
      <x:c r="N18" s="173"/>
      <x:c r="O18" s="173"/>
      <x:c r="P18" s="173"/>
      <x:c r="Q18" s="173"/>
      <x:c r="R18" s="173"/>
      <x:c r="S18" s="173"/>
      <x:c r="T18" s="173"/>
      <x:c r="U18" s="173"/>
      <x:c r="V18" s="173"/>
      <x:c r="W18" s="173"/>
      <x:c r="X18" s="173"/>
      <x:c r="Y18" s="173"/>
      <x:c r="Z18" s="174"/>
      <x:c r="AA18" s="175" t="str">
        <x:f>IF(H18="","BOŞ",IF(AND(H18="READY_FOR_REVIEW",I18&lt;&gt;"",J18&lt;&gt;"",LEN(K18)=64,L18&lt;&gt;"",M18&lt;&gt;"",N18&lt;&gt;"",O18&lt;&gt;"",P18&lt;&gt;"",Q18&lt;&gt;"",R18&lt;&gt;"",S18&lt;&gt;"",T18&lt;&gt;"",U18&lt;&gt;"",V18&lt;&gt;"",W18&lt;&gt;"",X18&lt;&gt;"",W18&lt;&gt;X18,Y18&lt;&gt;""),"İNCELEMEYE_HAZIR","EKSİK"))</x:f>
        <x:v>BOŞ</x:v>
      </x:c>
    </x:row>
    <x:row r="19" ht="38" customHeight="1">
      <x:c r="A19" s="169" t="n">
        <x:v>14</x:v>
      </x:c>
      <x:c r="B19" s="170" t="str">
        <x:v>SV-014</x:v>
      </x:c>
      <x:c r="C19" s="170" t="str">
        <x:v>SV</x:v>
      </x:c>
      <x:c r="D19" s="170" t="str">
        <x:v>YENİ / ÖNERİLEN</x:v>
      </x:c>
      <x:c r="E19" s="170" t="str">
        <x:v>İstatistiksel Geçerlilik ve Ardışık Çıkarım — SV</x:v>
      </x:c>
      <x:c r="F19" s="171" t="str">
        <x:v>Strateji nakit, basit beta, eşit ağırlık ve uygun pasif/naif bazlarla karşılaştırılıyor mu?</x:v>
      </x:c>
      <x:c r="G19" s="170" t="str">
        <x:v>REVIEW_REQUIRED</x:v>
      </x:c>
      <x:c r="H19" s="172"/>
      <x:c r="I19" s="173"/>
      <x:c r="J19" s="173"/>
      <x:c r="K19" s="173"/>
      <x:c r="L19" s="173"/>
      <x:c r="M19" s="173"/>
      <x:c r="N19" s="173"/>
      <x:c r="O19" s="173"/>
      <x:c r="P19" s="173"/>
      <x:c r="Q19" s="173"/>
      <x:c r="R19" s="173"/>
      <x:c r="S19" s="173"/>
      <x:c r="T19" s="173"/>
      <x:c r="U19" s="173"/>
      <x:c r="V19" s="173"/>
      <x:c r="W19" s="173"/>
      <x:c r="X19" s="173"/>
      <x:c r="Y19" s="173"/>
      <x:c r="Z19" s="174"/>
      <x:c r="AA19" s="175" t="str">
        <x:f>IF(H19="","BOŞ",IF(AND(H19="READY_FOR_REVIEW",I19&lt;&gt;"",J19&lt;&gt;"",LEN(K19)=64,L19&lt;&gt;"",M19&lt;&gt;"",N19&lt;&gt;"",O19&lt;&gt;"",P19&lt;&gt;"",Q19&lt;&gt;"",R19&lt;&gt;"",S19&lt;&gt;"",T19&lt;&gt;"",U19&lt;&gt;"",V19&lt;&gt;"",W19&lt;&gt;"",X19&lt;&gt;"",W19&lt;&gt;X19,Y19&lt;&gt;""),"İNCELEMEYE_HAZIR","EKSİK"))</x:f>
        <x:v>BOŞ</x:v>
      </x:c>
    </x:row>
    <x:row r="20" ht="38" customHeight="1">
      <x:c r="A20" s="169" t="n">
        <x:v>15</x:v>
      </x:c>
      <x:c r="B20" s="170" t="str">
        <x:v>SV-015</x:v>
      </x:c>
      <x:c r="C20" s="170" t="str">
        <x:v>SV</x:v>
      </x:c>
      <x:c r="D20" s="170" t="str">
        <x:v>YENİ / ÖNERİLEN</x:v>
      </x:c>
      <x:c r="E20" s="170" t="str">
        <x:v>İstatistiksel Geçerlilik ve Ardışık Çıkarım — SV</x:v>
      </x:c>
      <x:c r="F20" s="171" t="str">
        <x:v>Sonuçların birkaç uç kazanç, tek dönem veya tek enstrümana bağımlılığı raporlanıyor mu?</x:v>
      </x:c>
      <x:c r="G20" s="170" t="str">
        <x:v>REVIEW_REQUIRED</x:v>
      </x:c>
      <x:c r="H20" s="172"/>
      <x:c r="I20" s="173"/>
      <x:c r="J20" s="173"/>
      <x:c r="K20" s="173"/>
      <x:c r="L20" s="173"/>
      <x:c r="M20" s="173"/>
      <x:c r="N20" s="173"/>
      <x:c r="O20" s="173"/>
      <x:c r="P20" s="173"/>
      <x:c r="Q20" s="173"/>
      <x:c r="R20" s="173"/>
      <x:c r="S20" s="173"/>
      <x:c r="T20" s="173"/>
      <x:c r="U20" s="173"/>
      <x:c r="V20" s="173"/>
      <x:c r="W20" s="173"/>
      <x:c r="X20" s="173"/>
      <x:c r="Y20" s="173"/>
      <x:c r="Z20" s="174"/>
      <x:c r="AA20" s="175" t="str">
        <x:f>IF(H20="","BOŞ",IF(AND(H20="READY_FOR_REVIEW",I20&lt;&gt;"",J20&lt;&gt;"",LEN(K20)=64,L20&lt;&gt;"",M20&lt;&gt;"",N20&lt;&gt;"",O20&lt;&gt;"",P20&lt;&gt;"",Q20&lt;&gt;"",R20&lt;&gt;"",S20&lt;&gt;"",T20&lt;&gt;"",U20&lt;&gt;"",V20&lt;&gt;"",W20&lt;&gt;"",X20&lt;&gt;"",W20&lt;&gt;X20,Y20&lt;&gt;""),"İNCELEMEYE_HAZIR","EKSİK"))</x:f>
        <x:v>BOŞ</x:v>
      </x:c>
    </x:row>
    <x:row r="21" ht="38" customHeight="1">
      <x:c r="A21" s="169" t="n">
        <x:v>16</x:v>
      </x:c>
      <x:c r="B21" s="170" t="str">
        <x:v>SV-016</x:v>
      </x:c>
      <x:c r="C21" s="170" t="str">
        <x:v>SV</x:v>
      </x:c>
      <x:c r="D21" s="170" t="str">
        <x:v>YENİ / ÖNERİLEN</x:v>
      </x:c>
      <x:c r="E21" s="170" t="str">
        <x:v>İstatistiksel Geçerlilik ve Ardışık Çıkarım — SV</x:v>
      </x:c>
      <x:c r="F21" s="171" t="str">
        <x:v>Leave-one-regime-out ve leave-one-event-cluster-out dayanıklılık testleri uygulanabilir olduğunda çalıştırılıyor mu?</x:v>
      </x:c>
      <x:c r="G21" s="170" t="str">
        <x:v>REVIEW_REQUIRED</x:v>
      </x:c>
      <x:c r="H21" s="172"/>
      <x:c r="I21" s="173"/>
      <x:c r="J21" s="173"/>
      <x:c r="K21" s="173"/>
      <x:c r="L21" s="173"/>
      <x:c r="M21" s="173"/>
      <x:c r="N21" s="173"/>
      <x:c r="O21" s="173"/>
      <x:c r="P21" s="173"/>
      <x:c r="Q21" s="173"/>
      <x:c r="R21" s="173"/>
      <x:c r="S21" s="173"/>
      <x:c r="T21" s="173"/>
      <x:c r="U21" s="173"/>
      <x:c r="V21" s="173"/>
      <x:c r="W21" s="173"/>
      <x:c r="X21" s="173"/>
      <x:c r="Y21" s="173"/>
      <x:c r="Z21" s="174"/>
      <x:c r="AA21" s="175" t="str">
        <x:f>IF(H21="","BOŞ",IF(AND(H21="READY_FOR_REVIEW",I21&lt;&gt;"",J21&lt;&gt;"",LEN(K21)=64,L21&lt;&gt;"",M21&lt;&gt;"",N21&lt;&gt;"",O21&lt;&gt;"",P21&lt;&gt;"",Q21&lt;&gt;"",R21&lt;&gt;"",S21&lt;&gt;"",T21&lt;&gt;"",U21&lt;&gt;"",V21&lt;&gt;"",W21&lt;&gt;"",X21&lt;&gt;"",W21&lt;&gt;X21,Y21&lt;&gt;""),"İNCELEMEYE_HAZIR","EKSİK"))</x:f>
        <x:v>BOŞ</x:v>
      </x:c>
    </x:row>
    <x:row r="22" ht="38" customHeight="1">
      <x:c r="A22" s="169" t="n">
        <x:v>17</x:v>
      </x:c>
      <x:c r="B22" s="170" t="str">
        <x:v>SV-017</x:v>
      </x:c>
      <x:c r="C22" s="170" t="str">
        <x:v>SV</x:v>
      </x:c>
      <x:c r="D22" s="170" t="str">
        <x:v>YENİ / ÖNERİLEN</x:v>
      </x:c>
      <x:c r="E22" s="170" t="str">
        <x:v>İstatistiksel Geçerlilik ve Ardışık Çıkarım — SV</x:v>
      </x:c>
      <x:c r="F22" s="171" t="str">
        <x:v>Parametre optimumu dar bir tepe yerine ekonomik olarak açıklanabilir bir plato oluşturuyor mu?</x:v>
      </x:c>
      <x:c r="G22" s="170" t="str">
        <x:v>REVIEW_REQUIRED</x:v>
      </x:c>
      <x:c r="H22" s="172"/>
      <x:c r="I22" s="173"/>
      <x:c r="J22" s="173"/>
      <x:c r="K22" s="173"/>
      <x:c r="L22" s="173"/>
      <x:c r="M22" s="173"/>
      <x:c r="N22" s="173"/>
      <x:c r="O22" s="173"/>
      <x:c r="P22" s="173"/>
      <x:c r="Q22" s="173"/>
      <x:c r="R22" s="173"/>
      <x:c r="S22" s="173"/>
      <x:c r="T22" s="173"/>
      <x:c r="U22" s="173"/>
      <x:c r="V22" s="173"/>
      <x:c r="W22" s="173"/>
      <x:c r="X22" s="173"/>
      <x:c r="Y22" s="173"/>
      <x:c r="Z22" s="174"/>
      <x:c r="AA22" s="175" t="str">
        <x:f>IF(H22="","BOŞ",IF(AND(H22="READY_FOR_REVIEW",I22&lt;&gt;"",J22&lt;&gt;"",LEN(K22)=64,L22&lt;&gt;"",M22&lt;&gt;"",N22&lt;&gt;"",O22&lt;&gt;"",P22&lt;&gt;"",Q22&lt;&gt;"",R22&lt;&gt;"",S22&lt;&gt;"",T22&lt;&gt;"",U22&lt;&gt;"",V22&lt;&gt;"",W22&lt;&gt;"",X22&lt;&gt;"",W22&lt;&gt;X22,Y22&lt;&gt;""),"İNCELEMEYE_HAZIR","EKSİK"))</x:f>
        <x:v>BOŞ</x:v>
      </x:c>
    </x:row>
    <x:row r="23" ht="38" customHeight="1">
      <x:c r="A23" s="169" t="n">
        <x:v>18</x:v>
      </x:c>
      <x:c r="B23" s="170" t="str">
        <x:v>SV-018</x:v>
      </x:c>
      <x:c r="C23" s="170" t="str">
        <x:v>SV</x:v>
      </x:c>
      <x:c r="D23" s="170" t="str">
        <x:v>YENİ / ÖNERİLEN</x:v>
      </x:c>
      <x:c r="E23" s="170" t="str">
        <x:v>İstatistiksel Geçerlilik ve Ardışık Çıkarım — SV</x:v>
      </x:c>
      <x:c r="F23" s="171" t="str">
        <x:v>Küçük veri, maliyet, gecikme ve parametre değişiklikleri edge işaretini veya büyüklüğünü tersine çeviriyor mu?</x:v>
      </x:c>
      <x:c r="G23" s="170" t="str">
        <x:v>REVIEW_REQUIRED</x:v>
      </x:c>
      <x:c r="H23" s="172"/>
      <x:c r="I23" s="173"/>
      <x:c r="J23" s="173"/>
      <x:c r="K23" s="173"/>
      <x:c r="L23" s="173"/>
      <x:c r="M23" s="173"/>
      <x:c r="N23" s="173"/>
      <x:c r="O23" s="173"/>
      <x:c r="P23" s="173"/>
      <x:c r="Q23" s="173"/>
      <x:c r="R23" s="173"/>
      <x:c r="S23" s="173"/>
      <x:c r="T23" s="173"/>
      <x:c r="U23" s="173"/>
      <x:c r="V23" s="173"/>
      <x:c r="W23" s="173"/>
      <x:c r="X23" s="173"/>
      <x:c r="Y23" s="173"/>
      <x:c r="Z23" s="174"/>
      <x:c r="AA23" s="175" t="str">
        <x:f>IF(H23="","BOŞ",IF(AND(H23="READY_FOR_REVIEW",I23&lt;&gt;"",J23&lt;&gt;"",LEN(K23)=64,L23&lt;&gt;"",M23&lt;&gt;"",N23&lt;&gt;"",O23&lt;&gt;"",P23&lt;&gt;"",Q23&lt;&gt;"",R23&lt;&gt;"",S23&lt;&gt;"",T23&lt;&gt;"",U23&lt;&gt;"",V23&lt;&gt;"",W23&lt;&gt;"",X23&lt;&gt;"",W23&lt;&gt;X23,Y23&lt;&gt;""),"İNCELEMEYE_HAZIR","EKSİK"))</x:f>
        <x:v>BOŞ</x:v>
      </x:c>
    </x:row>
    <x:row r="24" ht="38" customHeight="1">
      <x:c r="A24" s="169" t="n">
        <x:v>19</x:v>
      </x:c>
      <x:c r="B24" s="170" t="str">
        <x:v>SV-019</x:v>
      </x:c>
      <x:c r="C24" s="170" t="str">
        <x:v>SV</x:v>
      </x:c>
      <x:c r="D24" s="170" t="str">
        <x:v>YENİ / ÖNERİLEN</x:v>
      </x:c>
      <x:c r="E24" s="170" t="str">
        <x:v>İstatistiksel Geçerlilik ve Ardışık Çıkarım — SV</x:v>
      </x:c>
      <x:c r="F24" s="171" t="str">
        <x:v>Non-stationarity altında güven aralıklarının geçerliliği ayrıca sınanıyor mu?</x:v>
      </x:c>
      <x:c r="G24" s="170" t="str">
        <x:v>REVIEW_REQUIRED</x:v>
      </x:c>
      <x:c r="H24" s="172"/>
      <x:c r="I24" s="173"/>
      <x:c r="J24" s="173"/>
      <x:c r="K24" s="173"/>
      <x:c r="L24" s="173"/>
      <x:c r="M24" s="173"/>
      <x:c r="N24" s="173"/>
      <x:c r="O24" s="173"/>
      <x:c r="P24" s="173"/>
      <x:c r="Q24" s="173"/>
      <x:c r="R24" s="173"/>
      <x:c r="S24" s="173"/>
      <x:c r="T24" s="173"/>
      <x:c r="U24" s="173"/>
      <x:c r="V24" s="173"/>
      <x:c r="W24" s="173"/>
      <x:c r="X24" s="173"/>
      <x:c r="Y24" s="173"/>
      <x:c r="Z24" s="174"/>
      <x:c r="AA24" s="175" t="str">
        <x:f>IF(H24="","BOŞ",IF(AND(H24="READY_FOR_REVIEW",I24&lt;&gt;"",J24&lt;&gt;"",LEN(K24)=64,L24&lt;&gt;"",M24&lt;&gt;"",N24&lt;&gt;"",O24&lt;&gt;"",P24&lt;&gt;"",Q24&lt;&gt;"",R24&lt;&gt;"",S24&lt;&gt;"",T24&lt;&gt;"",U24&lt;&gt;"",V24&lt;&gt;"",W24&lt;&gt;"",X24&lt;&gt;"",W24&lt;&gt;X24,Y24&lt;&gt;""),"İNCELEMEYE_HAZIR","EKSİK"))</x:f>
        <x:v>BOŞ</x:v>
      </x:c>
    </x:row>
    <x:row r="25" ht="38" customHeight="1">
      <x:c r="A25" s="169" t="n">
        <x:v>20</x:v>
      </x:c>
      <x:c r="B25" s="170" t="str">
        <x:v>SV-020</x:v>
      </x:c>
      <x:c r="C25" s="170" t="str">
        <x:v>SV</x:v>
      </x:c>
      <x:c r="D25" s="170" t="str">
        <x:v>YENİ / ÖNERİLEN</x:v>
      </x:c>
      <x:c r="E25" s="170" t="str">
        <x:v>İstatistiksel Geçerlilik ve Ardışık Çıkarım — SV</x:v>
      </x:c>
      <x:c r="F25" s="171" t="str">
        <x:v>İstatistiksel anlamlılık ile gerçek maliyet sonrası ekonomik anlamlılık ayrı kapılar mı?</x:v>
      </x:c>
      <x:c r="G25" s="170" t="str">
        <x:v>REVIEW_REQUIRED</x:v>
      </x:c>
      <x:c r="H25" s="172"/>
      <x:c r="I25" s="173"/>
      <x:c r="J25" s="173"/>
      <x:c r="K25" s="173"/>
      <x:c r="L25" s="173"/>
      <x:c r="M25" s="173"/>
      <x:c r="N25" s="173"/>
      <x:c r="O25" s="173"/>
      <x:c r="P25" s="173"/>
      <x:c r="Q25" s="173"/>
      <x:c r="R25" s="173"/>
      <x:c r="S25" s="173"/>
      <x:c r="T25" s="173"/>
      <x:c r="U25" s="173"/>
      <x:c r="V25" s="173"/>
      <x:c r="W25" s="173"/>
      <x:c r="X25" s="173"/>
      <x:c r="Y25" s="173"/>
      <x:c r="Z25" s="174"/>
      <x:c r="AA25" s="175" t="str">
        <x:f>IF(H25="","BOŞ",IF(AND(H25="READY_FOR_REVIEW",I25&lt;&gt;"",J25&lt;&gt;"",LEN(K25)=64,L25&lt;&gt;"",M25&lt;&gt;"",N25&lt;&gt;"",O25&lt;&gt;"",P25&lt;&gt;"",Q25&lt;&gt;"",R25&lt;&gt;"",S25&lt;&gt;"",T25&lt;&gt;"",U25&lt;&gt;"",V25&lt;&gt;"",W25&lt;&gt;"",X25&lt;&gt;"",W25&lt;&gt;X25,Y25&lt;&gt;""),"İNCELEMEYE_HAZIR","EKSİK"))</x:f>
        <x:v>BOŞ</x:v>
      </x:c>
    </x:row>
    <x:row r="26" ht="38" customHeight="1">
      <x:c r="A26" s="169" t="n">
        <x:v>21</x:v>
      </x:c>
      <x:c r="B26" s="170" t="str">
        <x:v>SV-021</x:v>
      </x:c>
      <x:c r="C26" s="170" t="str">
        <x:v>SV</x:v>
      </x:c>
      <x:c r="D26" s="170" t="str">
        <x:v>YENİ / ÖNERİLEN</x:v>
      </x:c>
      <x:c r="E26" s="170" t="str">
        <x:v>İstatistiksel Geçerlilik ve Ardışık Çıkarım — SV</x:v>
      </x:c>
      <x:c r="F26" s="171" t="str">
        <x:v>İddia edilen Sharpe/EV için gereken minimum track record seçimden önce belirleniyor mu?</x:v>
      </x:c>
      <x:c r="G26" s="170" t="str">
        <x:v>REVIEW_REQUIRED</x:v>
      </x:c>
      <x:c r="H26" s="172"/>
      <x:c r="I26" s="173"/>
      <x:c r="J26" s="173"/>
      <x:c r="K26" s="173"/>
      <x:c r="L26" s="173"/>
      <x:c r="M26" s="173"/>
      <x:c r="N26" s="173"/>
      <x:c r="O26" s="173"/>
      <x:c r="P26" s="173"/>
      <x:c r="Q26" s="173"/>
      <x:c r="R26" s="173"/>
      <x:c r="S26" s="173"/>
      <x:c r="T26" s="173"/>
      <x:c r="U26" s="173"/>
      <x:c r="V26" s="173"/>
      <x:c r="W26" s="173"/>
      <x:c r="X26" s="173"/>
      <x:c r="Y26" s="173"/>
      <x:c r="Z26" s="174"/>
      <x:c r="AA26" s="175" t="str">
        <x:f>IF(H26="","BOŞ",IF(AND(H26="READY_FOR_REVIEW",I26&lt;&gt;"",J26&lt;&gt;"",LEN(K26)=64,L26&lt;&gt;"",M26&lt;&gt;"",N26&lt;&gt;"",O26&lt;&gt;"",P26&lt;&gt;"",Q26&lt;&gt;"",R26&lt;&gt;"",S26&lt;&gt;"",T26&lt;&gt;"",U26&lt;&gt;"",V26&lt;&gt;"",W26&lt;&gt;"",X26&lt;&gt;"",W26&lt;&gt;X26,Y26&lt;&gt;""),"İNCELEMEYE_HAZIR","EKSİK"))</x:f>
        <x:v>BOŞ</x:v>
      </x:c>
    </x:row>
    <x:row r="27" ht="38" customHeight="1">
      <x:c r="A27" s="169" t="n">
        <x:v>22</x:v>
      </x:c>
      <x:c r="B27" s="170" t="str">
        <x:v>SV-022</x:v>
      </x:c>
      <x:c r="C27" s="170" t="str">
        <x:v>SV</x:v>
      </x:c>
      <x:c r="D27" s="170" t="str">
        <x:v>YENİ / ÖNERİLEN</x:v>
      </x:c>
      <x:c r="E27" s="170" t="str">
        <x:v>İstatistiksel Geçerlilik ve Ardışık Çıkarım — SV</x:v>
      </x:c>
      <x:c r="F27" s="171" t="str">
        <x:v>Birincil performans metriği sonuçlar görülmeden önce kayıt altına alınıyor mu?</x:v>
      </x:c>
      <x:c r="G27" s="170" t="str">
        <x:v>REVIEW_REQUIRED</x:v>
      </x:c>
      <x:c r="H27" s="172"/>
      <x:c r="I27" s="173"/>
      <x:c r="J27" s="173"/>
      <x:c r="K27" s="173"/>
      <x:c r="L27" s="173"/>
      <x:c r="M27" s="173"/>
      <x:c r="N27" s="173"/>
      <x:c r="O27" s="173"/>
      <x:c r="P27" s="173"/>
      <x:c r="Q27" s="173"/>
      <x:c r="R27" s="173"/>
      <x:c r="S27" s="173"/>
      <x:c r="T27" s="173"/>
      <x:c r="U27" s="173"/>
      <x:c r="V27" s="173"/>
      <x:c r="W27" s="173"/>
      <x:c r="X27" s="173"/>
      <x:c r="Y27" s="173"/>
      <x:c r="Z27" s="174"/>
      <x:c r="AA27" s="175" t="str">
        <x:f>IF(H27="","BOŞ",IF(AND(H27="READY_FOR_REVIEW",I27&lt;&gt;"",J27&lt;&gt;"",LEN(K27)=64,L27&lt;&gt;"",M27&lt;&gt;"",N27&lt;&gt;"",O27&lt;&gt;"",P27&lt;&gt;"",Q27&lt;&gt;"",R27&lt;&gt;"",S27&lt;&gt;"",T27&lt;&gt;"",U27&lt;&gt;"",V27&lt;&gt;"",W27&lt;&gt;"",X27&lt;&gt;"",W27&lt;&gt;X27,Y27&lt;&gt;""),"İNCELEMEYE_HAZIR","EKSİK"))</x:f>
        <x:v>BOŞ</x:v>
      </x:c>
    </x:row>
    <x:row r="28" ht="38" customHeight="1">
      <x:c r="A28" s="169" t="n">
        <x:v>23</x:v>
      </x:c>
      <x:c r="B28" s="170" t="str">
        <x:v>SV-023</x:v>
      </x:c>
      <x:c r="C28" s="170" t="str">
        <x:v>SV</x:v>
      </x:c>
      <x:c r="D28" s="170" t="str">
        <x:v>YENİ / ÖNERİLEN</x:v>
      </x:c>
      <x:c r="E28" s="170" t="str">
        <x:v>İstatistiksel Geçerlilik ve Ardışık Çıkarım — SV</x:v>
      </x:c>
      <x:c r="F28" s="171" t="str">
        <x:v>Sıfır-edge, ters yön, gecikmeli sinyal ve rastgeleleştirilmiş sinyal null modelleri birlikte sınanıyor mu?</x:v>
      </x:c>
      <x:c r="G28" s="170" t="str">
        <x:v>REVIEW_REQUIRED</x:v>
      </x:c>
      <x:c r="H28" s="172"/>
      <x:c r="I28" s="173"/>
      <x:c r="J28" s="173"/>
      <x:c r="K28" s="173"/>
      <x:c r="L28" s="173"/>
      <x:c r="M28" s="173"/>
      <x:c r="N28" s="173"/>
      <x:c r="O28" s="173"/>
      <x:c r="P28" s="173"/>
      <x:c r="Q28" s="173"/>
      <x:c r="R28" s="173"/>
      <x:c r="S28" s="173"/>
      <x:c r="T28" s="173"/>
      <x:c r="U28" s="173"/>
      <x:c r="V28" s="173"/>
      <x:c r="W28" s="173"/>
      <x:c r="X28" s="173"/>
      <x:c r="Y28" s="173"/>
      <x:c r="Z28" s="174"/>
      <x:c r="AA28" s="175" t="str">
        <x:f>IF(H28="","BOŞ",IF(AND(H28="READY_FOR_REVIEW",I28&lt;&gt;"",J28&lt;&gt;"",LEN(K28)=64,L28&lt;&gt;"",M28&lt;&gt;"",N28&lt;&gt;"",O28&lt;&gt;"",P28&lt;&gt;"",Q28&lt;&gt;"",R28&lt;&gt;"",S28&lt;&gt;"",T28&lt;&gt;"",U28&lt;&gt;"",V28&lt;&gt;"",W28&lt;&gt;"",X28&lt;&gt;"",W28&lt;&gt;X28,Y28&lt;&gt;""),"İNCELEMEYE_HAZIR","EKSİK"))</x:f>
        <x:v>BOŞ</x:v>
      </x:c>
    </x:row>
    <x:row r="29" ht="38" customHeight="1">
      <x:c r="A29" s="169" t="n">
        <x:v>24</x:v>
      </x:c>
      <x:c r="B29" s="170" t="str">
        <x:v>SV-024</x:v>
      </x:c>
      <x:c r="C29" s="170" t="str">
        <x:v>SV</x:v>
      </x:c>
      <x:c r="D29" s="170" t="str">
        <x:v>YENİ / ÖNERİLEN</x:v>
      </x:c>
      <x:c r="E29" s="170" t="str">
        <x:v>İstatistiksel Geçerlilik ve Ardışık Çıkarım — SV</x:v>
      </x:c>
      <x:c r="F29" s="171" t="str">
        <x:v>Sayısal kütüphane, seed, donanım ve paralellik değişiminde sonuçların tolerans dahilinde yeniden üretilebilirliği kanıtlanıyor mu?</x:v>
      </x:c>
      <x:c r="G29" s="170" t="str">
        <x:v>REVIEW_REQUIRED</x:v>
      </x:c>
      <x:c r="H29" s="172"/>
      <x:c r="I29" s="173"/>
      <x:c r="J29" s="173"/>
      <x:c r="K29" s="173"/>
      <x:c r="L29" s="173"/>
      <x:c r="M29" s="173"/>
      <x:c r="N29" s="173"/>
      <x:c r="O29" s="173"/>
      <x:c r="P29" s="173"/>
      <x:c r="Q29" s="173"/>
      <x:c r="R29" s="173"/>
      <x:c r="S29" s="173"/>
      <x:c r="T29" s="173"/>
      <x:c r="U29" s="173"/>
      <x:c r="V29" s="173"/>
      <x:c r="W29" s="173"/>
      <x:c r="X29" s="173"/>
      <x:c r="Y29" s="173"/>
      <x:c r="Z29" s="174"/>
      <x:c r="AA29" s="175" t="str">
        <x:f>IF(H29="","BOŞ",IF(AND(H29="READY_FOR_REVIEW",I29&lt;&gt;"",J29&lt;&gt;"",LEN(K29)=64,L29&lt;&gt;"",M29&lt;&gt;"",N29&lt;&gt;"",O29&lt;&gt;"",P29&lt;&gt;"",Q29&lt;&gt;"",R29&lt;&gt;"",S29&lt;&gt;"",T29&lt;&gt;"",U29&lt;&gt;"",V29&lt;&gt;"",W29&lt;&gt;"",X29&lt;&gt;"",W29&lt;&gt;X29,Y29&lt;&gt;""),"İNCELEMEYE_HAZIR","EKSİK"))</x:f>
        <x:v>BOŞ</x:v>
      </x:c>
    </x:row>
    <x:row r="30" ht="38" customHeight="1">
      <x:c r="A30" s="169" t="n">
        <x:v>25</x:v>
      </x:c>
      <x:c r="B30" s="170" t="str">
        <x:v>SV-025</x:v>
      </x:c>
      <x:c r="C30" s="170" t="str">
        <x:v>SV</x:v>
      </x:c>
      <x:c r="D30" s="170" t="str">
        <x:v>YENİ / ÖNERİLEN</x:v>
      </x:c>
      <x:c r="E30" s="170" t="str">
        <x:v>İstatistiksel Geçerlilik ve Ardışık Çıkarım — SV</x:v>
      </x:c>
      <x:c r="F30" s="171" t="str">
        <x:v>Üretici ekipten bağımsız bir doğrulayıcı model, veri, backtest ve sonuç yorumunu gerçekten challenge ediyor mu?</x:v>
      </x:c>
      <x:c r="G30" s="170" t="str">
        <x:v>REVIEW_REQUIRED</x:v>
      </x:c>
      <x:c r="H30" s="172"/>
      <x:c r="I30" s="173"/>
      <x:c r="J30" s="173"/>
      <x:c r="K30" s="173"/>
      <x:c r="L30" s="173"/>
      <x:c r="M30" s="173"/>
      <x:c r="N30" s="173"/>
      <x:c r="O30" s="173"/>
      <x:c r="P30" s="173"/>
      <x:c r="Q30" s="173"/>
      <x:c r="R30" s="173"/>
      <x:c r="S30" s="173"/>
      <x:c r="T30" s="173"/>
      <x:c r="U30" s="173"/>
      <x:c r="V30" s="173"/>
      <x:c r="W30" s="173"/>
      <x:c r="X30" s="173"/>
      <x:c r="Y30" s="173"/>
      <x:c r="Z30" s="174"/>
      <x:c r="AA30" s="175" t="str">
        <x:f>IF(H30="","BOŞ",IF(AND(H30="READY_FOR_REVIEW",I30&lt;&gt;"",J30&lt;&gt;"",LEN(K30)=64,L30&lt;&gt;"",M30&lt;&gt;"",N30&lt;&gt;"",O30&lt;&gt;"",P30&lt;&gt;"",Q30&lt;&gt;"",R30&lt;&gt;"",S30&lt;&gt;"",T30&lt;&gt;"",U30&lt;&gt;"",V30&lt;&gt;"",W30&lt;&gt;"",X30&lt;&gt;"",W30&lt;&gt;X30,Y30&lt;&gt;""),"İNCELEMEYE_HAZIR","EKSİK"))</x:f>
        <x:v>BOŞ</x:v>
      </x:c>
    </x:row>
    <x:row r="31" ht="38" customHeight="1">
      <x:c r="A31" s="169" t="n">
        <x:v>26</x:v>
      </x:c>
      <x:c r="B31" s="170" t="str">
        <x:v>EP-001</x:v>
      </x:c>
      <x:c r="C31" s="170" t="str">
        <x:v>EP</x:v>
      </x:c>
      <x:c r="D31" s="170" t="str">
        <x:v>YENİ / ÖNERİLEN</x:v>
      </x:c>
      <x:c r="E31" s="170" t="str">
        <x:v>Execution Gizliliği, Routing ve Venue Gaming — EP</x:v>
      </x:c>
      <x:c r="F31" s="171" t="str">
        <x:v>Child-order zamanlamasının tahmin edilebilirliği ölçülüyor mu?</x:v>
      </x:c>
      <x:c r="G31" s="170" t="str">
        <x:v>REVIEW_REQUIRED</x:v>
      </x:c>
      <x:c r="H31" s="172"/>
      <x:c r="I31" s="173"/>
      <x:c r="J31" s="173"/>
      <x:c r="K31" s="173"/>
      <x:c r="L31" s="173"/>
      <x:c r="M31" s="173"/>
      <x:c r="N31" s="173"/>
      <x:c r="O31" s="173"/>
      <x:c r="P31" s="173"/>
      <x:c r="Q31" s="173"/>
      <x:c r="R31" s="173"/>
      <x:c r="S31" s="173"/>
      <x:c r="T31" s="173"/>
      <x:c r="U31" s="173"/>
      <x:c r="V31" s="173"/>
      <x:c r="W31" s="173"/>
      <x:c r="X31" s="173"/>
      <x:c r="Y31" s="173"/>
      <x:c r="Z31" s="174"/>
      <x:c r="AA31" s="175" t="str">
        <x:f>IF(H31="","BOŞ",IF(AND(H31="READY_FOR_REVIEW",I31&lt;&gt;"",J31&lt;&gt;"",LEN(K31)=64,L31&lt;&gt;"",M31&lt;&gt;"",N31&lt;&gt;"",O31&lt;&gt;"",P31&lt;&gt;"",Q31&lt;&gt;"",R31&lt;&gt;"",S31&lt;&gt;"",T31&lt;&gt;"",U31&lt;&gt;"",V31&lt;&gt;"",W31&lt;&gt;"",X31&lt;&gt;"",W31&lt;&gt;X31,Y31&lt;&gt;""),"İNCELEMEYE_HAZIR","EKSİK"))</x:f>
        <x:v>BOŞ</x:v>
      </x:c>
    </x:row>
    <x:row r="32" ht="38" customHeight="1">
      <x:c r="A32" s="169" t="n">
        <x:v>27</x:v>
      </x:c>
      <x:c r="B32" s="170" t="str">
        <x:v>EP-002</x:v>
      </x:c>
      <x:c r="C32" s="170" t="str">
        <x:v>EP</x:v>
      </x:c>
      <x:c r="D32" s="170" t="str">
        <x:v>YENİ / ÖNERİLEN</x:v>
      </x:c>
      <x:c r="E32" s="170" t="str">
        <x:v>Execution Gizliliği, Routing ve Venue Gaming — EP</x:v>
      </x:c>
      <x:c r="F32" s="171" t="str">
        <x:v>Emir büyüklüğü, fiyat adımı ve bekleme süresi dağılımı strateji parmak izi oluşturuyor mu?</x:v>
      </x:c>
      <x:c r="G32" s="170" t="str">
        <x:v>REVIEW_REQUIRED</x:v>
      </x:c>
      <x:c r="H32" s="172"/>
      <x:c r="I32" s="173"/>
      <x:c r="J32" s="173"/>
      <x:c r="K32" s="173"/>
      <x:c r="L32" s="173"/>
      <x:c r="M32" s="173"/>
      <x:c r="N32" s="173"/>
      <x:c r="O32" s="173"/>
      <x:c r="P32" s="173"/>
      <x:c r="Q32" s="173"/>
      <x:c r="R32" s="173"/>
      <x:c r="S32" s="173"/>
      <x:c r="T32" s="173"/>
      <x:c r="U32" s="173"/>
      <x:c r="V32" s="173"/>
      <x:c r="W32" s="173"/>
      <x:c r="X32" s="173"/>
      <x:c r="Y32" s="173"/>
      <x:c r="Z32" s="174"/>
      <x:c r="AA32" s="175" t="str">
        <x:f>IF(H32="","BOŞ",IF(AND(H32="READY_FOR_REVIEW",I32&lt;&gt;"",J32&lt;&gt;"",LEN(K32)=64,L32&lt;&gt;"",M32&lt;&gt;"",N32&lt;&gt;"",O32&lt;&gt;"",P32&lt;&gt;"",Q32&lt;&gt;"",R32&lt;&gt;"",S32&lt;&gt;"",T32&lt;&gt;"",U32&lt;&gt;"",V32&lt;&gt;"",W32&lt;&gt;"",X32&lt;&gt;"",W32&lt;&gt;X32,Y32&lt;&gt;""),"İNCELEMEYE_HAZIR","EKSİK"))</x:f>
        <x:v>BOŞ</x:v>
      </x:c>
    </x:row>
    <x:row r="33" ht="38" customHeight="1">
      <x:c r="A33" s="169" t="n">
        <x:v>28</x:v>
      </x:c>
      <x:c r="B33" s="170" t="str">
        <x:v>EP-003</x:v>
      </x:c>
      <x:c r="C33" s="170" t="str">
        <x:v>EP</x:v>
      </x:c>
      <x:c r="D33" s="170" t="str">
        <x:v>YENİ / ÖNERİLEN</x:v>
      </x:c>
      <x:c r="E33" s="170" t="str">
        <x:v>Execution Gizliliği, Routing ve Venue Gaming — EP</x:v>
      </x:c>
      <x:c r="F33" s="171" t="str">
        <x:v>Cancel/replace paterni gelecekteki işlem niyetini dışarı sızdırıyor mu?</x:v>
      </x:c>
      <x:c r="G33" s="170" t="str">
        <x:v>REVIEW_REQUIRED</x:v>
      </x:c>
      <x:c r="H33" s="172"/>
      <x:c r="I33" s="173"/>
      <x:c r="J33" s="173"/>
      <x:c r="K33" s="173"/>
      <x:c r="L33" s="173"/>
      <x:c r="M33" s="173"/>
      <x:c r="N33" s="173"/>
      <x:c r="O33" s="173"/>
      <x:c r="P33" s="173"/>
      <x:c r="Q33" s="173"/>
      <x:c r="R33" s="173"/>
      <x:c r="S33" s="173"/>
      <x:c r="T33" s="173"/>
      <x:c r="U33" s="173"/>
      <x:c r="V33" s="173"/>
      <x:c r="W33" s="173"/>
      <x:c r="X33" s="173"/>
      <x:c r="Y33" s="173"/>
      <x:c r="Z33" s="174"/>
      <x:c r="AA33" s="175" t="str">
        <x:f>IF(H33="","BOŞ",IF(AND(H33="READY_FOR_REVIEW",I33&lt;&gt;"",J33&lt;&gt;"",LEN(K33)=64,L33&lt;&gt;"",M33&lt;&gt;"",N33&lt;&gt;"",O33&lt;&gt;"",P33&lt;&gt;"",Q33&lt;&gt;"",R33&lt;&gt;"",S33&lt;&gt;"",T33&lt;&gt;"",U33&lt;&gt;"",V33&lt;&gt;"",W33&lt;&gt;"",X33&lt;&gt;"",W33&lt;&gt;X33,Y33&lt;&gt;""),"İNCELEMEYE_HAZIR","EKSİK"))</x:f>
        <x:v>BOŞ</x:v>
      </x:c>
    </x:row>
    <x:row r="34" ht="38" customHeight="1">
      <x:c r="A34" s="169" t="n">
        <x:v>29</x:v>
      </x:c>
      <x:c r="B34" s="170" t="str">
        <x:v>EP-004</x:v>
      </x:c>
      <x:c r="C34" s="170" t="str">
        <x:v>EP</x:v>
      </x:c>
      <x:c r="D34" s="170" t="str">
        <x:v>YENİ / ÖNERİLEN</x:v>
      </x:c>
      <x:c r="E34" s="170" t="str">
        <x:v>Execution Gizliliği, Routing ve Venue Gaming — EP</x:v>
      </x:c>
      <x:c r="F34" s="171" t="str">
        <x:v>Venue-routing tercihleri büyük emrin kalan yönü ve büyüklüğü hakkında sinyal üretiyor mu?</x:v>
      </x:c>
      <x:c r="G34" s="170" t="str">
        <x:v>REVIEW_REQUIRED</x:v>
      </x:c>
      <x:c r="H34" s="172"/>
      <x:c r="I34" s="173"/>
      <x:c r="J34" s="173"/>
      <x:c r="K34" s="173"/>
      <x:c r="L34" s="173"/>
      <x:c r="M34" s="173"/>
      <x:c r="N34" s="173"/>
      <x:c r="O34" s="173"/>
      <x:c r="P34" s="173"/>
      <x:c r="Q34" s="173"/>
      <x:c r="R34" s="173"/>
      <x:c r="S34" s="173"/>
      <x:c r="T34" s="173"/>
      <x:c r="U34" s="173"/>
      <x:c r="V34" s="173"/>
      <x:c r="W34" s="173"/>
      <x:c r="X34" s="173"/>
      <x:c r="Y34" s="173"/>
      <x:c r="Z34" s="174"/>
      <x:c r="AA34" s="175" t="str">
        <x:f>IF(H34="","BOŞ",IF(AND(H34="READY_FOR_REVIEW",I34&lt;&gt;"",J34&lt;&gt;"",LEN(K34)=64,L34&lt;&gt;"",M34&lt;&gt;"",N34&lt;&gt;"",O34&lt;&gt;"",P34&lt;&gt;"",Q34&lt;&gt;"",R34&lt;&gt;"",S34&lt;&gt;"",T34&lt;&gt;"",U34&lt;&gt;"",V34&lt;&gt;"",W34&lt;&gt;"",X34&lt;&gt;"",W34&lt;&gt;X34,Y34&lt;&gt;""),"İNCELEMEYE_HAZIR","EKSİK"))</x:f>
        <x:v>BOŞ</x:v>
      </x:c>
    </x:row>
    <x:row r="35" ht="38" customHeight="1">
      <x:c r="A35" s="169" t="n">
        <x:v>30</x:v>
      </x:c>
      <x:c r="B35" s="170" t="str">
        <x:v>EP-005</x:v>
      </x:c>
      <x:c r="C35" s="170" t="str">
        <x:v>EP</x:v>
      </x:c>
      <x:c r="D35" s="170" t="str">
        <x:v>YENİ / ÖNERİLEN</x:v>
      </x:c>
      <x:c r="E35" s="170" t="str">
        <x:v>Execution Gizliliği, Routing ve Venue Gaming — EP</x:v>
      </x:c>
      <x:c r="F35" s="171" t="str">
        <x:v>Pasif/agresif mod geçişleri rakiplerce sınıflandırılabilecek kadar düzenli mi?</x:v>
      </x:c>
      <x:c r="G35" s="170" t="str">
        <x:v>REVIEW_REQUIRED</x:v>
      </x:c>
      <x:c r="H35" s="172"/>
      <x:c r="I35" s="173"/>
      <x:c r="J35" s="173"/>
      <x:c r="K35" s="173"/>
      <x:c r="L35" s="173"/>
      <x:c r="M35" s="173"/>
      <x:c r="N35" s="173"/>
      <x:c r="O35" s="173"/>
      <x:c r="P35" s="173"/>
      <x:c r="Q35" s="173"/>
      <x:c r="R35" s="173"/>
      <x:c r="S35" s="173"/>
      <x:c r="T35" s="173"/>
      <x:c r="U35" s="173"/>
      <x:c r="V35" s="173"/>
      <x:c r="W35" s="173"/>
      <x:c r="X35" s="173"/>
      <x:c r="Y35" s="173"/>
      <x:c r="Z35" s="174"/>
      <x:c r="AA35" s="175" t="str">
        <x:f>IF(H35="","BOŞ",IF(AND(H35="READY_FOR_REVIEW",I35&lt;&gt;"",J35&lt;&gt;"",LEN(K35)=64,L35&lt;&gt;"",M35&lt;&gt;"",N35&lt;&gt;"",O35&lt;&gt;"",P35&lt;&gt;"",Q35&lt;&gt;"",R35&lt;&gt;"",S35&lt;&gt;"",T35&lt;&gt;"",U35&lt;&gt;"",V35&lt;&gt;"",W35&lt;&gt;"",X35&lt;&gt;"",W35&lt;&gt;X35,Y35&lt;&gt;""),"İNCELEMEYE_HAZIR","EKSİK"))</x:f>
        <x:v>BOŞ</x:v>
      </x:c>
    </x:row>
    <x:row r="36" ht="38" customHeight="1">
      <x:c r="A36" s="169" t="n">
        <x:v>31</x:v>
      </x:c>
      <x:c r="B36" s="170" t="str">
        <x:v>EP-006</x:v>
      </x:c>
      <x:c r="C36" s="170" t="str">
        <x:v>EP</x:v>
      </x:c>
      <x:c r="D36" s="170" t="str">
        <x:v>YENİ / ÖNERİLEN</x:v>
      </x:c>
      <x:c r="E36" s="170" t="str">
        <x:v>Execution Gizliliği, Routing ve Venue Gaming — EP</x:v>
      </x:c>
      <x:c r="F36" s="171" t="str">
        <x:v>Dolum sonrası kısa ve orta ufuk fiyat hareketi information leakage ve adverse selection için ölçülüyor mu?</x:v>
      </x:c>
      <x:c r="G36" s="170" t="str">
        <x:v>REVIEW_REQUIRED</x:v>
      </x:c>
      <x:c r="H36" s="172"/>
      <x:c r="I36" s="173"/>
      <x:c r="J36" s="173"/>
      <x:c r="K36" s="173"/>
      <x:c r="L36" s="173"/>
      <x:c r="M36" s="173"/>
      <x:c r="N36" s="173"/>
      <x:c r="O36" s="173"/>
      <x:c r="P36" s="173"/>
      <x:c r="Q36" s="173"/>
      <x:c r="R36" s="173"/>
      <x:c r="S36" s="173"/>
      <x:c r="T36" s="173"/>
      <x:c r="U36" s="173"/>
      <x:c r="V36" s="173"/>
      <x:c r="W36" s="173"/>
      <x:c r="X36" s="173"/>
      <x:c r="Y36" s="173"/>
      <x:c r="Z36" s="174"/>
      <x:c r="AA36" s="175" t="str">
        <x:f>IF(H36="","BOŞ",IF(AND(H36="READY_FOR_REVIEW",I36&lt;&gt;"",J36&lt;&gt;"",LEN(K36)=64,L36&lt;&gt;"",M36&lt;&gt;"",N36&lt;&gt;"",O36&lt;&gt;"",P36&lt;&gt;"",Q36&lt;&gt;"",R36&lt;&gt;"",S36&lt;&gt;"",T36&lt;&gt;"",U36&lt;&gt;"",V36&lt;&gt;"",W36&lt;&gt;"",X36&lt;&gt;"",W36&lt;&gt;X36,Y36&lt;&gt;""),"İNCELEMEYE_HAZIR","EKSİK"))</x:f>
        <x:v>BOŞ</x:v>
      </x:c>
    </x:row>
    <x:row r="37" ht="38" customHeight="1">
      <x:c r="A37" s="169" t="n">
        <x:v>32</x:v>
      </x:c>
      <x:c r="B37" s="170" t="str">
        <x:v>EP-007</x:v>
      </x:c>
      <x:c r="C37" s="170" t="str">
        <x:v>EP</x:v>
      </x:c>
      <x:c r="D37" s="170" t="str">
        <x:v>YENİ / ÖNERİLEN</x:v>
      </x:c>
      <x:c r="E37" s="170" t="str">
        <x:v>Execution Gizliliği, Routing ve Venue Gaming — EP</x:v>
      </x:c>
      <x:c r="F37" s="171" t="str">
        <x:v>Gerçek execution, aynı piyasa koşullarındaki sertifikalı counterfactual schedule ile karşılaştırılıyor mu?</x:v>
      </x:c>
      <x:c r="G37" s="170" t="str">
        <x:v>REVIEW_REQUIRED</x:v>
      </x:c>
      <x:c r="H37" s="172"/>
      <x:c r="I37" s="173"/>
      <x:c r="J37" s="173"/>
      <x:c r="K37" s="173"/>
      <x:c r="L37" s="173"/>
      <x:c r="M37" s="173"/>
      <x:c r="N37" s="173"/>
      <x:c r="O37" s="173"/>
      <x:c r="P37" s="173"/>
      <x:c r="Q37" s="173"/>
      <x:c r="R37" s="173"/>
      <x:c r="S37" s="173"/>
      <x:c r="T37" s="173"/>
      <x:c r="U37" s="173"/>
      <x:c r="V37" s="173"/>
      <x:c r="W37" s="173"/>
      <x:c r="X37" s="173"/>
      <x:c r="Y37" s="173"/>
      <x:c r="Z37" s="174"/>
      <x:c r="AA37" s="175" t="str">
        <x:f>IF(H37="","BOŞ",IF(AND(H37="READY_FOR_REVIEW",I37&lt;&gt;"",J37&lt;&gt;"",LEN(K37)=64,L37&lt;&gt;"",M37&lt;&gt;"",N37&lt;&gt;"",O37&lt;&gt;"",P37&lt;&gt;"",Q37&lt;&gt;"",R37&lt;&gt;"",S37&lt;&gt;"",T37&lt;&gt;"",U37&lt;&gt;"",V37&lt;&gt;"",W37&lt;&gt;"",X37&lt;&gt;"",W37&lt;&gt;X37,Y37&lt;&gt;""),"İNCELEMEYE_HAZIR","EKSİK"))</x:f>
        <x:v>BOŞ</x:v>
      </x:c>
    </x:row>
    <x:row r="38" ht="38" customHeight="1">
      <x:c r="A38" s="169" t="n">
        <x:v>33</x:v>
      </x:c>
      <x:c r="B38" s="170" t="str">
        <x:v>EP-008</x:v>
      </x:c>
      <x:c r="C38" s="170" t="str">
        <x:v>EP</x:v>
      </x:c>
      <x:c r="D38" s="170" t="str">
        <x:v>YENİ / ÖNERİLEN</x:v>
      </x:c>
      <x:c r="E38" s="170" t="str">
        <x:v>Execution Gizliliği, Routing ve Venue Gaming — EP</x:v>
      </x:c>
      <x:c r="F38" s="171" t="str">
        <x:v>Zamanlama veya boyut randomizasyonu kullanılırsa yalnızca sertifikalı risk, fiyat ve tamamlanma sınırları içinde mi kalıyor?</x:v>
      </x:c>
      <x:c r="G38" s="170" t="str">
        <x:v>REVIEW_REQUIRED</x:v>
      </x:c>
      <x:c r="H38" s="172"/>
      <x:c r="I38" s="173"/>
      <x:c r="J38" s="173"/>
      <x:c r="K38" s="173"/>
      <x:c r="L38" s="173"/>
      <x:c r="M38" s="173"/>
      <x:c r="N38" s="173"/>
      <x:c r="O38" s="173"/>
      <x:c r="P38" s="173"/>
      <x:c r="Q38" s="173"/>
      <x:c r="R38" s="173"/>
      <x:c r="S38" s="173"/>
      <x:c r="T38" s="173"/>
      <x:c r="U38" s="173"/>
      <x:c r="V38" s="173"/>
      <x:c r="W38" s="173"/>
      <x:c r="X38" s="173"/>
      <x:c r="Y38" s="173"/>
      <x:c r="Z38" s="174"/>
      <x:c r="AA38" s="175" t="str">
        <x:f>IF(H38="","BOŞ",IF(AND(H38="READY_FOR_REVIEW",I38&lt;&gt;"",J38&lt;&gt;"",LEN(K38)=64,L38&lt;&gt;"",M38&lt;&gt;"",N38&lt;&gt;"",O38&lt;&gt;"",P38&lt;&gt;"",Q38&lt;&gt;"",R38&lt;&gt;"",S38&lt;&gt;"",T38&lt;&gt;"",U38&lt;&gt;"",V38&lt;&gt;"",W38&lt;&gt;"",X38&lt;&gt;"",W38&lt;&gt;X38,Y38&lt;&gt;""),"İNCELEMEYE_HAZIR","EKSİK"))</x:f>
        <x:v>BOŞ</x:v>
      </x:c>
    </x:row>
    <x:row r="39" ht="38" customHeight="1">
      <x:c r="A39" s="169" t="n">
        <x:v>34</x:v>
      </x:c>
      <x:c r="B39" s="170" t="str">
        <x:v>EP-009</x:v>
      </x:c>
      <x:c r="C39" s="170" t="str">
        <x:v>EP</x:v>
      </x:c>
      <x:c r="D39" s="170" t="str">
        <x:v>YENİ / ÖNERİLEN</x:v>
      </x:c>
      <x:c r="E39" s="170" t="str">
        <x:v>Execution Gizliliği, Routing ve Venue Gaming — EP</x:v>
      </x:c>
      <x:c r="F39" s="171" t="str">
        <x:v>Router sonucu görülen en iyi fiyata değil, o anda uygulanabilir en iyi net execution sonucuna göre değerlendiriliyor mu?</x:v>
      </x:c>
      <x:c r="G39" s="170" t="str">
        <x:v>REVIEW_REQUIRED</x:v>
      </x:c>
      <x:c r="H39" s="172"/>
      <x:c r="I39" s="173"/>
      <x:c r="J39" s="173"/>
      <x:c r="K39" s="173"/>
      <x:c r="L39" s="173"/>
      <x:c r="M39" s="173"/>
      <x:c r="N39" s="173"/>
      <x:c r="O39" s="173"/>
      <x:c r="P39" s="173"/>
      <x:c r="Q39" s="173"/>
      <x:c r="R39" s="173"/>
      <x:c r="S39" s="173"/>
      <x:c r="T39" s="173"/>
      <x:c r="U39" s="173"/>
      <x:c r="V39" s="173"/>
      <x:c r="W39" s="173"/>
      <x:c r="X39" s="173"/>
      <x:c r="Y39" s="173"/>
      <x:c r="Z39" s="174"/>
      <x:c r="AA39" s="175" t="str">
        <x:f>IF(H39="","BOŞ",IF(AND(H39="READY_FOR_REVIEW",I39&lt;&gt;"",J39&lt;&gt;"",LEN(K39)=64,L39&lt;&gt;"",M39&lt;&gt;"",N39&lt;&gt;"",O39&lt;&gt;"",P39&lt;&gt;"",Q39&lt;&gt;"",R39&lt;&gt;"",S39&lt;&gt;"",T39&lt;&gt;"",U39&lt;&gt;"",V39&lt;&gt;"",W39&lt;&gt;"",X39&lt;&gt;"",W39&lt;&gt;X39,Y39&lt;&gt;""),"İNCELEMEYE_HAZIR","EKSİK"))</x:f>
        <x:v>BOŞ</x:v>
      </x:c>
    </x:row>
    <x:row r="40" ht="38" customHeight="1">
      <x:c r="A40" s="169" t="n">
        <x:v>35</x:v>
      </x:c>
      <x:c r="B40" s="170" t="str">
        <x:v>EP-010</x:v>
      </x:c>
      <x:c r="C40" s="170" t="str">
        <x:v>EP</x:v>
      </x:c>
      <x:c r="D40" s="170" t="str">
        <x:v>YENİ / ÖNERİLEN</x:v>
      </x:c>
      <x:c r="E40" s="170" t="str">
        <x:v>Execution Gizliliği, Routing ve Venue Gaming — EP</x:v>
      </x:c>
      <x:c r="F40" s="171" t="str">
        <x:v>Ücret, rebate, maker-taker teşviki ve order-type davranışı net routing kararına dahil mi?</x:v>
      </x:c>
      <x:c r="G40" s="170" t="str">
        <x:v>REVIEW_REQUIRED</x:v>
      </x:c>
      <x:c r="H40" s="172"/>
      <x:c r="I40" s="173"/>
      <x:c r="J40" s="173"/>
      <x:c r="K40" s="173"/>
      <x:c r="L40" s="173"/>
      <x:c r="M40" s="173"/>
      <x:c r="N40" s="173"/>
      <x:c r="O40" s="173"/>
      <x:c r="P40" s="173"/>
      <x:c r="Q40" s="173"/>
      <x:c r="R40" s="173"/>
      <x:c r="S40" s="173"/>
      <x:c r="T40" s="173"/>
      <x:c r="U40" s="173"/>
      <x:c r="V40" s="173"/>
      <x:c r="W40" s="173"/>
      <x:c r="X40" s="173"/>
      <x:c r="Y40" s="173"/>
      <x:c r="Z40" s="174"/>
      <x:c r="AA40" s="175" t="str">
        <x:f>IF(H40="","BOŞ",IF(AND(H40="READY_FOR_REVIEW",I40&lt;&gt;"",J40&lt;&gt;"",LEN(K40)=64,L40&lt;&gt;"",M40&lt;&gt;"",N40&lt;&gt;"",O40&lt;&gt;"",P40&lt;&gt;"",Q40&lt;&gt;"",R40&lt;&gt;"",S40&lt;&gt;"",T40&lt;&gt;"",U40&lt;&gt;"",V40&lt;&gt;"",W40&lt;&gt;"",X40&lt;&gt;"",W40&lt;&gt;X40,Y40&lt;&gt;""),"İNCELEMEYE_HAZIR","EKSİK"))</x:f>
        <x:v>BOŞ</x:v>
      </x:c>
    </x:row>
    <x:row r="41" ht="38" customHeight="1">
      <x:c r="A41" s="169" t="n">
        <x:v>36</x:v>
      </x:c>
      <x:c r="B41" s="170" t="str">
        <x:v>EP-011</x:v>
      </x:c>
      <x:c r="C41" s="170" t="str">
        <x:v>EP</x:v>
      </x:c>
      <x:c r="D41" s="170" t="str">
        <x:v>YENİ / ÖNERİLEN</x:v>
      </x:c>
      <x:c r="E41" s="170" t="str">
        <x:v>Execution Gizliliği, Routing ve Venue Gaming — EP</x:v>
      </x:c>
      <x:c r="F41" s="171" t="str">
        <x:v>Dark/hidden venue dolumları fill oranıyla birlikte toxicity ve post-trade reversion açısından ölçülüyor mu?</x:v>
      </x:c>
      <x:c r="G41" s="170" t="str">
        <x:v>REVIEW_REQUIRED</x:v>
      </x:c>
      <x:c r="H41" s="172"/>
      <x:c r="I41" s="173"/>
      <x:c r="J41" s="173"/>
      <x:c r="K41" s="173"/>
      <x:c r="L41" s="173"/>
      <x:c r="M41" s="173"/>
      <x:c r="N41" s="173"/>
      <x:c r="O41" s="173"/>
      <x:c r="P41" s="173"/>
      <x:c r="Q41" s="173"/>
      <x:c r="R41" s="173"/>
      <x:c r="S41" s="173"/>
      <x:c r="T41" s="173"/>
      <x:c r="U41" s="173"/>
      <x:c r="V41" s="173"/>
      <x:c r="W41" s="173"/>
      <x:c r="X41" s="173"/>
      <x:c r="Y41" s="173"/>
      <x:c r="Z41" s="174"/>
      <x:c r="AA41" s="175" t="str">
        <x:f>IF(H41="","BOŞ",IF(AND(H41="READY_FOR_REVIEW",I41&lt;&gt;"",J41&lt;&gt;"",LEN(K41)=64,L41&lt;&gt;"",M41&lt;&gt;"",N41&lt;&gt;"",O41&lt;&gt;"",P41&lt;&gt;"",Q41&lt;&gt;"",R41&lt;&gt;"",S41&lt;&gt;"",T41&lt;&gt;"",U41&lt;&gt;"",V41&lt;&gt;"",W41&lt;&gt;"",X41&lt;&gt;"",W41&lt;&gt;X41,Y41&lt;&gt;""),"İNCELEMEYE_HAZIR","EKSİK"))</x:f>
        <x:v>BOŞ</x:v>
      </x:c>
    </x:row>
    <x:row r="42" ht="38" customHeight="1">
      <x:c r="A42" s="169" t="n">
        <x:v>37</x:v>
      </x:c>
      <x:c r="B42" s="170" t="str">
        <x:v>EP-012</x:v>
      </x:c>
      <x:c r="C42" s="170" t="str">
        <x:v>EP</x:v>
      </x:c>
      <x:c r="D42" s="170" t="str">
        <x:v>YENİ / ÖNERİLEN</x:v>
      </x:c>
      <x:c r="E42" s="170" t="str">
        <x:v>Execution Gizliliği, Routing ve Venue Gaming — EP</x:v>
      </x:c>
      <x:c r="F42" s="171" t="str">
        <x:v>Venue, broker, zaman, boyut ve order type bazında koşullu adverse selection izleniyor mu?</x:v>
      </x:c>
      <x:c r="G42" s="170" t="str">
        <x:v>REVIEW_REQUIRED</x:v>
      </x:c>
      <x:c r="H42" s="172"/>
      <x:c r="I42" s="173"/>
      <x:c r="J42" s="173"/>
      <x:c r="K42" s="173"/>
      <x:c r="L42" s="173"/>
      <x:c r="M42" s="173"/>
      <x:c r="N42" s="173"/>
      <x:c r="O42" s="173"/>
      <x:c r="P42" s="173"/>
      <x:c r="Q42" s="173"/>
      <x:c r="R42" s="173"/>
      <x:c r="S42" s="173"/>
      <x:c r="T42" s="173"/>
      <x:c r="U42" s="173"/>
      <x:c r="V42" s="173"/>
      <x:c r="W42" s="173"/>
      <x:c r="X42" s="173"/>
      <x:c r="Y42" s="173"/>
      <x:c r="Z42" s="174"/>
      <x:c r="AA42" s="175" t="str">
        <x:f>IF(H42="","BOŞ",IF(AND(H42="READY_FOR_REVIEW",I42&lt;&gt;"",J42&lt;&gt;"",LEN(K42)=64,L42&lt;&gt;"",M42&lt;&gt;"",N42&lt;&gt;"",O42&lt;&gt;"",P42&lt;&gt;"",Q42&lt;&gt;"",R42&lt;&gt;"",S42&lt;&gt;"",T42&lt;&gt;"",U42&lt;&gt;"",V42&lt;&gt;"",W42&lt;&gt;"",X42&lt;&gt;"",W42&lt;&gt;X42,Y42&lt;&gt;""),"İNCELEMEYE_HAZIR","EKSİK"))</x:f>
        <x:v>BOŞ</x:v>
      </x:c>
    </x:row>
    <x:row r="43" ht="38" customHeight="1">
      <x:c r="A43" s="169" t="n">
        <x:v>38</x:v>
      </x:c>
      <x:c r="B43" s="170" t="str">
        <x:v>EP-013</x:v>
      </x:c>
      <x:c r="C43" s="170" t="str">
        <x:v>EP</x:v>
      </x:c>
      <x:c r="D43" s="170" t="str">
        <x:v>YENİ / KOŞULLU</x:v>
      </x:c>
      <x:c r="E43" s="170" t="str">
        <x:v>Execution Gizliliği, Routing ve Venue Gaming — EP</x:v>
      </x:c>
      <x:c r="F43" s="171" t="str">
        <x:v>Last-look veya reject yeteneği olan venue'lerde kabul/red asimetrisi ve gecikmesi ölçülüyor mu?</x:v>
      </x:c>
      <x:c r="G43" s="170" t="str">
        <x:v>REVIEW_REQUIRED</x:v>
      </x:c>
      <x:c r="H43" s="172"/>
      <x:c r="I43" s="173"/>
      <x:c r="J43" s="173"/>
      <x:c r="K43" s="173"/>
      <x:c r="L43" s="173"/>
      <x:c r="M43" s="173"/>
      <x:c r="N43" s="173"/>
      <x:c r="O43" s="173"/>
      <x:c r="P43" s="173"/>
      <x:c r="Q43" s="173"/>
      <x:c r="R43" s="173"/>
      <x:c r="S43" s="173"/>
      <x:c r="T43" s="173"/>
      <x:c r="U43" s="173"/>
      <x:c r="V43" s="173"/>
      <x:c r="W43" s="173"/>
      <x:c r="X43" s="173"/>
      <x:c r="Y43" s="173"/>
      <x:c r="Z43" s="174"/>
      <x:c r="AA43" s="175" t="str">
        <x:f>IF(H43="","BOŞ",IF(AND(H43="READY_FOR_REVIEW",I43&lt;&gt;"",J43&lt;&gt;"",LEN(K43)=64,L43&lt;&gt;"",M43&lt;&gt;"",N43&lt;&gt;"",O43&lt;&gt;"",P43&lt;&gt;"",Q43&lt;&gt;"",R43&lt;&gt;"",S43&lt;&gt;"",T43&lt;&gt;"",U43&lt;&gt;"",V43&lt;&gt;"",W43&lt;&gt;"",X43&lt;&gt;"",W43&lt;&gt;X43,Y43&lt;&gt;""),"İNCELEMEYE_HAZIR","EKSİK"))</x:f>
        <x:v>BOŞ</x:v>
      </x:c>
    </x:row>
    <x:row r="44" ht="38" customHeight="1">
      <x:c r="A44" s="169" t="n">
        <x:v>39</x:v>
      </x:c>
      <x:c r="B44" s="170" t="str">
        <x:v>EP-014</x:v>
      </x:c>
      <x:c r="C44" s="170" t="str">
        <x:v>EP</x:v>
      </x:c>
      <x:c r="D44" s="170" t="str">
        <x:v>YENİ / ÖNERİLEN</x:v>
      </x:c>
      <x:c r="E44" s="170" t="str">
        <x:v>Execution Gizliliği, Routing ve Venue Gaming — EP</x:v>
      </x:c>
      <x:c r="F44" s="171" t="str">
        <x:v>Kısmi dolumun kalan emir üzerindeki bilgi sızıntısı ve maliyeti modelleniyor mu?</x:v>
      </x:c>
      <x:c r="G44" s="170" t="str">
        <x:v>REVIEW_REQUIRED</x:v>
      </x:c>
      <x:c r="H44" s="172"/>
      <x:c r="I44" s="173"/>
      <x:c r="J44" s="173"/>
      <x:c r="K44" s="173"/>
      <x:c r="L44" s="173"/>
      <x:c r="M44" s="173"/>
      <x:c r="N44" s="173"/>
      <x:c r="O44" s="173"/>
      <x:c r="P44" s="173"/>
      <x:c r="Q44" s="173"/>
      <x:c r="R44" s="173"/>
      <x:c r="S44" s="173"/>
      <x:c r="T44" s="173"/>
      <x:c r="U44" s="173"/>
      <x:c r="V44" s="173"/>
      <x:c r="W44" s="173"/>
      <x:c r="X44" s="173"/>
      <x:c r="Y44" s="173"/>
      <x:c r="Z44" s="174"/>
      <x:c r="AA44" s="175" t="str">
        <x:f>IF(H44="","BOŞ",IF(AND(H44="READY_FOR_REVIEW",I44&lt;&gt;"",J44&lt;&gt;"",LEN(K44)=64,L44&lt;&gt;"",M44&lt;&gt;"",N44&lt;&gt;"",O44&lt;&gt;"",P44&lt;&gt;"",Q44&lt;&gt;"",R44&lt;&gt;"",S44&lt;&gt;"",T44&lt;&gt;"",U44&lt;&gt;"",V44&lt;&gt;"",W44&lt;&gt;"",X44&lt;&gt;"",W44&lt;&gt;X44,Y44&lt;&gt;""),"İNCELEMEYE_HAZIR","EKSİK"))</x:f>
        <x:v>BOŞ</x:v>
      </x:c>
    </x:row>
    <x:row r="45" ht="38" customHeight="1">
      <x:c r="A45" s="169" t="n">
        <x:v>40</x:v>
      </x:c>
      <x:c r="B45" s="170" t="str">
        <x:v>EP-015</x:v>
      </x:c>
      <x:c r="C45" s="170" t="str">
        <x:v>EP</x:v>
      </x:c>
      <x:c r="D45" s="170" t="str">
        <x:v>YENİ / ÖNERİLEN</x:v>
      </x:c>
      <x:c r="E45" s="170" t="str">
        <x:v>Execution Gizliliği, Routing ve Venue Gaming — EP</x:v>
      </x:c>
      <x:c r="F45" s="171" t="str">
        <x:v>Kendi execution'ımızın ilişkili enstrüman, hedge ve diğer stratejiler üzerindeki çapraz etkisi ölçülüyor mu?</x:v>
      </x:c>
      <x:c r="G45" s="170" t="str">
        <x:v>REVIEW_REQUIRED</x:v>
      </x:c>
      <x:c r="H45" s="172"/>
      <x:c r="I45" s="173"/>
      <x:c r="J45" s="173"/>
      <x:c r="K45" s="173"/>
      <x:c r="L45" s="173"/>
      <x:c r="M45" s="173"/>
      <x:c r="N45" s="173"/>
      <x:c r="O45" s="173"/>
      <x:c r="P45" s="173"/>
      <x:c r="Q45" s="173"/>
      <x:c r="R45" s="173"/>
      <x:c r="S45" s="173"/>
      <x:c r="T45" s="173"/>
      <x:c r="U45" s="173"/>
      <x:c r="V45" s="173"/>
      <x:c r="W45" s="173"/>
      <x:c r="X45" s="173"/>
      <x:c r="Y45" s="173"/>
      <x:c r="Z45" s="174"/>
      <x:c r="AA45" s="175" t="str">
        <x:f>IF(H45="","BOŞ",IF(AND(H45="READY_FOR_REVIEW",I45&lt;&gt;"",J45&lt;&gt;"",LEN(K45)=64,L45&lt;&gt;"",M45&lt;&gt;"",N45&lt;&gt;"",O45&lt;&gt;"",P45&lt;&gt;"",Q45&lt;&gt;"",R45&lt;&gt;"",S45&lt;&gt;"",T45&lt;&gt;"",U45&lt;&gt;"",V45&lt;&gt;"",W45&lt;&gt;"",X45&lt;&gt;"",W45&lt;&gt;X45,Y45&lt;&gt;""),"İNCELEMEYE_HAZIR","EKSİK"))</x:f>
        <x:v>BOŞ</x:v>
      </x:c>
    </x:row>
    <x:row r="46" ht="38" customHeight="1">
      <x:c r="A46" s="169" t="n">
        <x:v>41</x:v>
      </x:c>
      <x:c r="B46" s="170" t="str">
        <x:v>EP-016</x:v>
      </x:c>
      <x:c r="C46" s="170" t="str">
        <x:v>EP</x:v>
      </x:c>
      <x:c r="D46" s="170" t="str">
        <x:v>YENİ / ÖNERİLEN</x:v>
      </x:c>
      <x:c r="E46" s="170" t="str">
        <x:v>Execution Gizliliği, Routing ve Venue Gaming — EP</x:v>
      </x:c>
      <x:c r="F46" s="171" t="str">
        <x:v>Aynı enstrümanda çalışan stratejilerin emirleri birbirini front-run ediyor veya queue position bozuyor mu?</x:v>
      </x:c>
      <x:c r="G46" s="170" t="str">
        <x:v>REVIEW_REQUIRED</x:v>
      </x:c>
      <x:c r="H46" s="172"/>
      <x:c r="I46" s="173"/>
      <x:c r="J46" s="173"/>
      <x:c r="K46" s="173"/>
      <x:c r="L46" s="173"/>
      <x:c r="M46" s="173"/>
      <x:c r="N46" s="173"/>
      <x:c r="O46" s="173"/>
      <x:c r="P46" s="173"/>
      <x:c r="Q46" s="173"/>
      <x:c r="R46" s="173"/>
      <x:c r="S46" s="173"/>
      <x:c r="T46" s="173"/>
      <x:c r="U46" s="173"/>
      <x:c r="V46" s="173"/>
      <x:c r="W46" s="173"/>
      <x:c r="X46" s="173"/>
      <x:c r="Y46" s="173"/>
      <x:c r="Z46" s="174"/>
      <x:c r="AA46" s="175" t="str">
        <x:f>IF(H46="","BOŞ",IF(AND(H46="READY_FOR_REVIEW",I46&lt;&gt;"",J46&lt;&gt;"",LEN(K46)=64,L46&lt;&gt;"",M46&lt;&gt;"",N46&lt;&gt;"",O46&lt;&gt;"",P46&lt;&gt;"",Q46&lt;&gt;"",R46&lt;&gt;"",S46&lt;&gt;"",T46&lt;&gt;"",U46&lt;&gt;"",V46&lt;&gt;"",W46&lt;&gt;"",X46&lt;&gt;"",W46&lt;&gt;X46,Y46&lt;&gt;""),"İNCELEMEYE_HAZIR","EKSİK"))</x:f>
        <x:v>BOŞ</x:v>
      </x:c>
    </x:row>
    <x:row r="47" ht="38" customHeight="1">
      <x:c r="A47" s="169" t="n">
        <x:v>42</x:v>
      </x:c>
      <x:c r="B47" s="170" t="str">
        <x:v>EP-017</x:v>
      </x:c>
      <x:c r="C47" s="170" t="str">
        <x:v>EP</x:v>
      </x:c>
      <x:c r="D47" s="170" t="str">
        <x:v>YENİ / ÖNERİLEN</x:v>
      </x:c>
      <x:c r="E47" s="170" t="str">
        <x:v>Execution Gizliliği, Routing ve Venue Gaming — EP</x:v>
      </x:c>
      <x:c r="F47" s="171" t="str">
        <x:v>Self-match prevention kapsamı hesap, strateji, session ve venue kimlikleri arasında doğrulanıyor mu?</x:v>
      </x:c>
      <x:c r="G47" s="170" t="str">
        <x:v>REVIEW_REQUIRED</x:v>
      </x:c>
      <x:c r="H47" s="172"/>
      <x:c r="I47" s="173"/>
      <x:c r="J47" s="173"/>
      <x:c r="K47" s="173"/>
      <x:c r="L47" s="173"/>
      <x:c r="M47" s="173"/>
      <x:c r="N47" s="173"/>
      <x:c r="O47" s="173"/>
      <x:c r="P47" s="173"/>
      <x:c r="Q47" s="173"/>
      <x:c r="R47" s="173"/>
      <x:c r="S47" s="173"/>
      <x:c r="T47" s="173"/>
      <x:c r="U47" s="173"/>
      <x:c r="V47" s="173"/>
      <x:c r="W47" s="173"/>
      <x:c r="X47" s="173"/>
      <x:c r="Y47" s="173"/>
      <x:c r="Z47" s="174"/>
      <x:c r="AA47" s="175" t="str">
        <x:f>IF(H47="","BOŞ",IF(AND(H47="READY_FOR_REVIEW",I47&lt;&gt;"",J47&lt;&gt;"",LEN(K47)=64,L47&lt;&gt;"",M47&lt;&gt;"",N47&lt;&gt;"",O47&lt;&gt;"",P47&lt;&gt;"",Q47&lt;&gt;"",R47&lt;&gt;"",S47&lt;&gt;"",T47&lt;&gt;"",U47&lt;&gt;"",V47&lt;&gt;"",W47&lt;&gt;"",X47&lt;&gt;"",W47&lt;&gt;X47,Y47&lt;&gt;""),"İNCELEMEYE_HAZIR","EKSİK"))</x:f>
        <x:v>BOŞ</x:v>
      </x:c>
    </x:row>
    <x:row r="48" ht="38" customHeight="1">
      <x:c r="A48" s="169" t="n">
        <x:v>43</x:v>
      </x:c>
      <x:c r="B48" s="170" t="str">
        <x:v>EP-018</x:v>
      </x:c>
      <x:c r="C48" s="170" t="str">
        <x:v>EP</x:v>
      </x:c>
      <x:c r="D48" s="170" t="str">
        <x:v>YENİ / ÖNERİLEN</x:v>
      </x:c>
      <x:c r="E48" s="170" t="str">
        <x:v>Execution Gizliliği, Routing ve Venue Gaming — EP</x:v>
      </x:c>
      <x:c r="F48" s="171" t="str">
        <x:v>Cancel-on-disconnect ve venue kill araçlarının gerçek kapsamı, gecikmesi ve hata modu test ediliyor mu?</x:v>
      </x:c>
      <x:c r="G48" s="170" t="str">
        <x:v>REVIEW_REQUIRED</x:v>
      </x:c>
      <x:c r="H48" s="172"/>
      <x:c r="I48" s="173"/>
      <x:c r="J48" s="173"/>
      <x:c r="K48" s="173"/>
      <x:c r="L48" s="173"/>
      <x:c r="M48" s="173"/>
      <x:c r="N48" s="173"/>
      <x:c r="O48" s="173"/>
      <x:c r="P48" s="173"/>
      <x:c r="Q48" s="173"/>
      <x:c r="R48" s="173"/>
      <x:c r="S48" s="173"/>
      <x:c r="T48" s="173"/>
      <x:c r="U48" s="173"/>
      <x:c r="V48" s="173"/>
      <x:c r="W48" s="173"/>
      <x:c r="X48" s="173"/>
      <x:c r="Y48" s="173"/>
      <x:c r="Z48" s="174"/>
      <x:c r="AA48" s="175" t="str">
        <x:f>IF(H48="","BOŞ",IF(AND(H48="READY_FOR_REVIEW",I48&lt;&gt;"",J48&lt;&gt;"",LEN(K48)=64,L48&lt;&gt;"",M48&lt;&gt;"",N48&lt;&gt;"",O48&lt;&gt;"",P48&lt;&gt;"",Q48&lt;&gt;"",R48&lt;&gt;"",S48&lt;&gt;"",T48&lt;&gt;"",U48&lt;&gt;"",V48&lt;&gt;"",W48&lt;&gt;"",X48&lt;&gt;"",W48&lt;&gt;X48,Y48&lt;&gt;""),"İNCELEMEYE_HAZIR","EKSİK"))</x:f>
        <x:v>BOŞ</x:v>
      </x:c>
    </x:row>
    <x:row r="49" ht="38" customHeight="1">
      <x:c r="A49" s="169" t="n">
        <x:v>44</x:v>
      </x:c>
      <x:c r="B49" s="170" t="str">
        <x:v>EP-019</x:v>
      </x:c>
      <x:c r="C49" s="170" t="str">
        <x:v>EP</x:v>
      </x:c>
      <x:c r="D49" s="170" t="str">
        <x:v>YENİ / ÖNERİLEN</x:v>
      </x:c>
      <x:c r="E49" s="170" t="str">
        <x:v>Execution Gizliliği, Routing ve Venue Gaming — EP</x:v>
      </x:c>
      <x:c r="F49" s="171" t="str">
        <x:v>Mesaj oranı, order-to-trade oranı ve venue throttle sınırları stres altında ihlal edilmeden korunuyor mu?</x:v>
      </x:c>
      <x:c r="G49" s="170" t="str">
        <x:v>REVIEW_REQUIRED</x:v>
      </x:c>
      <x:c r="H49" s="172"/>
      <x:c r="I49" s="173"/>
      <x:c r="J49" s="173"/>
      <x:c r="K49" s="173"/>
      <x:c r="L49" s="173"/>
      <x:c r="M49" s="173"/>
      <x:c r="N49" s="173"/>
      <x:c r="O49" s="173"/>
      <x:c r="P49" s="173"/>
      <x:c r="Q49" s="173"/>
      <x:c r="R49" s="173"/>
      <x:c r="S49" s="173"/>
      <x:c r="T49" s="173"/>
      <x:c r="U49" s="173"/>
      <x:c r="V49" s="173"/>
      <x:c r="W49" s="173"/>
      <x:c r="X49" s="173"/>
      <x:c r="Y49" s="173"/>
      <x:c r="Z49" s="174"/>
      <x:c r="AA49" s="175" t="str">
        <x:f>IF(H49="","BOŞ",IF(AND(H49="READY_FOR_REVIEW",I49&lt;&gt;"",J49&lt;&gt;"",LEN(K49)=64,L49&lt;&gt;"",M49&lt;&gt;"",N49&lt;&gt;"",O49&lt;&gt;"",P49&lt;&gt;"",Q49&lt;&gt;"",R49&lt;&gt;"",S49&lt;&gt;"",T49&lt;&gt;"",U49&lt;&gt;"",V49&lt;&gt;"",W49&lt;&gt;"",X49&lt;&gt;"",W49&lt;&gt;X49,Y49&lt;&gt;""),"İNCELEMEYE_HAZIR","EKSİK"))</x:f>
        <x:v>BOŞ</x:v>
      </x:c>
    </x:row>
    <x:row r="50" ht="38" customHeight="1">
      <x:c r="A50" s="169" t="n">
        <x:v>45</x:v>
      </x:c>
      <x:c r="B50" s="170" t="str">
        <x:v>EP-020</x:v>
      </x:c>
      <x:c r="C50" s="170" t="str">
        <x:v>EP</x:v>
      </x:c>
      <x:c r="D50" s="170" t="str">
        <x:v>YENİ / KOŞULLU</x:v>
      </x:c>
      <x:c r="E50" s="170" t="str">
        <x:v>Execution Gizliliği, Routing ve Venue Gaming — EP</x:v>
      </x:c>
      <x:c r="F50" s="171" t="str">
        <x:v>Auction, halt reopen ve price-band durumlarında router ayrı ve sertifikalı davranış kullanıyor mu?</x:v>
      </x:c>
      <x:c r="G50" s="170" t="str">
        <x:v>REVIEW_REQUIRED</x:v>
      </x:c>
      <x:c r="H50" s="172"/>
      <x:c r="I50" s="173"/>
      <x:c r="J50" s="173"/>
      <x:c r="K50" s="173"/>
      <x:c r="L50" s="173"/>
      <x:c r="M50" s="173"/>
      <x:c r="N50" s="173"/>
      <x:c r="O50" s="173"/>
      <x:c r="P50" s="173"/>
      <x:c r="Q50" s="173"/>
      <x:c r="R50" s="173"/>
      <x:c r="S50" s="173"/>
      <x:c r="T50" s="173"/>
      <x:c r="U50" s="173"/>
      <x:c r="V50" s="173"/>
      <x:c r="W50" s="173"/>
      <x:c r="X50" s="173"/>
      <x:c r="Y50" s="173"/>
      <x:c r="Z50" s="174"/>
      <x:c r="AA50" s="175" t="str">
        <x:f>IF(H50="","BOŞ",IF(AND(H50="READY_FOR_REVIEW",I50&lt;&gt;"",J50&lt;&gt;"",LEN(K50)=64,L50&lt;&gt;"",M50&lt;&gt;"",N50&lt;&gt;"",O50&lt;&gt;"",P50&lt;&gt;"",Q50&lt;&gt;"",R50&lt;&gt;"",S50&lt;&gt;"",T50&lt;&gt;"",U50&lt;&gt;"",V50&lt;&gt;"",W50&lt;&gt;"",X50&lt;&gt;"",W50&lt;&gt;X50,Y50&lt;&gt;""),"İNCELEMEYE_HAZIR","EKSİK"))</x:f>
        <x:v>BOŞ</x:v>
      </x:c>
    </x:row>
    <x:row r="51" ht="38" customHeight="1">
      <x:c r="A51" s="169" t="n">
        <x:v>46</x:v>
      </x:c>
      <x:c r="B51" s="170" t="str">
        <x:v>EP-021</x:v>
      </x:c>
      <x:c r="C51" s="170" t="str">
        <x:v>EP</x:v>
      </x:c>
      <x:c r="D51" s="170" t="str">
        <x:v>YENİ / ÖNERİLEN</x:v>
      </x:c>
      <x:c r="E51" s="170" t="str">
        <x:v>Execution Gizliliği, Routing ve Venue Gaming — EP</x:v>
      </x:c>
      <x:c r="F51" s="171" t="str">
        <x:v>Strateji edge'i düşük gecikmeli rakiplere rağmen kalıyor mu, yoksa sonuç yalnızca erişilemeyen latency avantajına mı dayanıyor?</x:v>
      </x:c>
      <x:c r="G51" s="170" t="str">
        <x:v>REVIEW_REQUIRED</x:v>
      </x:c>
      <x:c r="H51" s="172"/>
      <x:c r="I51" s="173"/>
      <x:c r="J51" s="173"/>
      <x:c r="K51" s="173"/>
      <x:c r="L51" s="173"/>
      <x:c r="M51" s="173"/>
      <x:c r="N51" s="173"/>
      <x:c r="O51" s="173"/>
      <x:c r="P51" s="173"/>
      <x:c r="Q51" s="173"/>
      <x:c r="R51" s="173"/>
      <x:c r="S51" s="173"/>
      <x:c r="T51" s="173"/>
      <x:c r="U51" s="173"/>
      <x:c r="V51" s="173"/>
      <x:c r="W51" s="173"/>
      <x:c r="X51" s="173"/>
      <x:c r="Y51" s="173"/>
      <x:c r="Z51" s="174"/>
      <x:c r="AA51" s="175" t="str">
        <x:f>IF(H51="","BOŞ",IF(AND(H51="READY_FOR_REVIEW",I51&lt;&gt;"",J51&lt;&gt;"",LEN(K51)=64,L51&lt;&gt;"",M51&lt;&gt;"",N51&lt;&gt;"",O51&lt;&gt;"",P51&lt;&gt;"",Q51&lt;&gt;"",R51&lt;&gt;"",S51&lt;&gt;"",T51&lt;&gt;"",U51&lt;&gt;"",V51&lt;&gt;"",W51&lt;&gt;"",X51&lt;&gt;"",W51&lt;&gt;X51,Y51&lt;&gt;""),"İNCELEMEYE_HAZIR","EKSİK"))</x:f>
        <x:v>BOŞ</x:v>
      </x:c>
    </x:row>
    <x:row r="52" ht="38" customHeight="1">
      <x:c r="A52" s="169" t="n">
        <x:v>47</x:v>
      </x:c>
      <x:c r="B52" s="170" t="str">
        <x:v>EP-022</x:v>
      </x:c>
      <x:c r="C52" s="170" t="str">
        <x:v>EP</x:v>
      </x:c>
      <x:c r="D52" s="170" t="str">
        <x:v>YENİ / ÖNERİLEN</x:v>
      </x:c>
      <x:c r="E52" s="170" t="str">
        <x:v>Execution Gizliliği, Routing ve Venue Gaming — EP</x:v>
      </x:c>
      <x:c r="F52" s="171" t="str">
        <x:v>Stale quote, stale route veya venue-state gecikmesi yanlış venue seçimini otomatik veto ediyor mu?</x:v>
      </x:c>
      <x:c r="G52" s="170" t="str">
        <x:v>REVIEW_REQUIRED</x:v>
      </x:c>
      <x:c r="H52" s="172"/>
      <x:c r="I52" s="173"/>
      <x:c r="J52" s="173"/>
      <x:c r="K52" s="173"/>
      <x:c r="L52" s="173"/>
      <x:c r="M52" s="173"/>
      <x:c r="N52" s="173"/>
      <x:c r="O52" s="173"/>
      <x:c r="P52" s="173"/>
      <x:c r="Q52" s="173"/>
      <x:c r="R52" s="173"/>
      <x:c r="S52" s="173"/>
      <x:c r="T52" s="173"/>
      <x:c r="U52" s="173"/>
      <x:c r="V52" s="173"/>
      <x:c r="W52" s="173"/>
      <x:c r="X52" s="173"/>
      <x:c r="Y52" s="173"/>
      <x:c r="Z52" s="174"/>
      <x:c r="AA52" s="175" t="str">
        <x:f>IF(H52="","BOŞ",IF(AND(H52="READY_FOR_REVIEW",I52&lt;&gt;"",J52&lt;&gt;"",LEN(K52)=64,L52&lt;&gt;"",M52&lt;&gt;"",N52&lt;&gt;"",O52&lt;&gt;"",P52&lt;&gt;"",Q52&lt;&gt;"",R52&lt;&gt;"",S52&lt;&gt;"",T52&lt;&gt;"",U52&lt;&gt;"",V52&lt;&gt;"",W52&lt;&gt;"",X52&lt;&gt;"",W52&lt;&gt;X52,Y52&lt;&gt;""),"İNCELEMEYE_HAZIR","EKSİK"))</x:f>
        <x:v>BOŞ</x:v>
      </x:c>
    </x:row>
    <x:row r="53" ht="38" customHeight="1">
      <x:c r="A53" s="169" t="n">
        <x:v>48</x:v>
      </x:c>
      <x:c r="B53" s="170" t="str">
        <x:v>EP-023</x:v>
      </x:c>
      <x:c r="C53" s="170" t="str">
        <x:v>EP</x:v>
      </x:c>
      <x:c r="D53" s="170" t="str">
        <x:v>YENİ / KOŞULLU</x:v>
      </x:c>
      <x:c r="E53" s="170" t="str">
        <x:v>Execution Gizliliği, Routing ve Venue Gaming — EP</x:v>
      </x:c>
      <x:c r="F53" s="171" t="str">
        <x:v>Dış broker execution algosu kullanılıyorsa karar, sürüm, parametre ve gerçekleşen davranış denetlenebilir mi?</x:v>
      </x:c>
      <x:c r="G53" s="170" t="str">
        <x:v>REVIEW_REQUIRED</x:v>
      </x:c>
      <x:c r="H53" s="172"/>
      <x:c r="I53" s="173"/>
      <x:c r="J53" s="173"/>
      <x:c r="K53" s="173"/>
      <x:c r="L53" s="173"/>
      <x:c r="M53" s="173"/>
      <x:c r="N53" s="173"/>
      <x:c r="O53" s="173"/>
      <x:c r="P53" s="173"/>
      <x:c r="Q53" s="173"/>
      <x:c r="R53" s="173"/>
      <x:c r="S53" s="173"/>
      <x:c r="T53" s="173"/>
      <x:c r="U53" s="173"/>
      <x:c r="V53" s="173"/>
      <x:c r="W53" s="173"/>
      <x:c r="X53" s="173"/>
      <x:c r="Y53" s="173"/>
      <x:c r="Z53" s="174"/>
      <x:c r="AA53" s="175" t="str">
        <x:f>IF(H53="","BOŞ",IF(AND(H53="READY_FOR_REVIEW",I53&lt;&gt;"",J53&lt;&gt;"",LEN(K53)=64,L53&lt;&gt;"",M53&lt;&gt;"",N53&lt;&gt;"",O53&lt;&gt;"",P53&lt;&gt;"",Q53&lt;&gt;"",R53&lt;&gt;"",S53&lt;&gt;"",T53&lt;&gt;"",U53&lt;&gt;"",V53&lt;&gt;"",W53&lt;&gt;"",X53&lt;&gt;"",W53&lt;&gt;X53,Y53&lt;&gt;""),"İNCELEMEYE_HAZIR","EKSİK"))</x:f>
        <x:v>BOŞ</x:v>
      </x:c>
    </x:row>
    <x:row r="54" ht="38" customHeight="1">
      <x:c r="A54" s="169" t="n">
        <x:v>49</x:v>
      </x:c>
      <x:c r="B54" s="170" t="str">
        <x:v>EP-024</x:v>
      </x:c>
      <x:c r="C54" s="170" t="str">
        <x:v>EP</x:v>
      </x:c>
      <x:c r="D54" s="170" t="str">
        <x:v>YENİ / ÖNERİLEN</x:v>
      </x:c>
      <x:c r="E54" s="170" t="str">
        <x:v>Execution Gizliliği, Routing ve Venue Gaming — EP</x:v>
      </x:c>
      <x:c r="F54" s="171" t="str">
        <x:v>Router veya fill model drift'i venue kural değişikliği, piyasa değişimi ve kendi footprint'imizden ayrıştırılıyor mu?</x:v>
      </x:c>
      <x:c r="G54" s="170" t="str">
        <x:v>REVIEW_REQUIRED</x:v>
      </x:c>
      <x:c r="H54" s="172"/>
      <x:c r="I54" s="173"/>
      <x:c r="J54" s="173"/>
      <x:c r="K54" s="173"/>
      <x:c r="L54" s="173"/>
      <x:c r="M54" s="173"/>
      <x:c r="N54" s="173"/>
      <x:c r="O54" s="173"/>
      <x:c r="P54" s="173"/>
      <x:c r="Q54" s="173"/>
      <x:c r="R54" s="173"/>
      <x:c r="S54" s="173"/>
      <x:c r="T54" s="173"/>
      <x:c r="U54" s="173"/>
      <x:c r="V54" s="173"/>
      <x:c r="W54" s="173"/>
      <x:c r="X54" s="173"/>
      <x:c r="Y54" s="173"/>
      <x:c r="Z54" s="174"/>
      <x:c r="AA54" s="175" t="str">
        <x:f>IF(H54="","BOŞ",IF(AND(H54="READY_FOR_REVIEW",I54&lt;&gt;"",J54&lt;&gt;"",LEN(K54)=64,L54&lt;&gt;"",M54&lt;&gt;"",N54&lt;&gt;"",O54&lt;&gt;"",P54&lt;&gt;"",Q54&lt;&gt;"",R54&lt;&gt;"",S54&lt;&gt;"",T54&lt;&gt;"",U54&lt;&gt;"",V54&lt;&gt;"",W54&lt;&gt;"",X54&lt;&gt;"",W54&lt;&gt;X54,Y54&lt;&gt;""),"İNCELEMEYE_HAZIR","EKSİK"))</x:f>
        <x:v>BOŞ</x:v>
      </x:c>
    </x:row>
    <x:row r="55" ht="38" customHeight="1">
      <x:c r="A55" s="169" t="n">
        <x:v>50</x:v>
      </x:c>
      <x:c r="B55" s="170" t="str">
        <x:v>EP-025</x:v>
      </x:c>
      <x:c r="C55" s="170" t="str">
        <x:v>EP</x:v>
      </x:c>
      <x:c r="D55" s="170" t="str">
        <x:v>YENİ / ÖNERİLEN</x:v>
      </x:c>
      <x:c r="E55" s="170" t="str">
        <x:v>Execution Gizliliği, Routing ve Venue Gaming — EP</x:v>
      </x:c>
      <x:c r="F55" s="171" t="str">
        <x:v>Gerçek zamanlı ve post-trade TCA bağımsız kaynaklarla mutabakatlı ve decision→order→fill lineage'ına bağlı mı?</x:v>
      </x:c>
      <x:c r="G55" s="170" t="str">
        <x:v>REVIEW_REQUIRED</x:v>
      </x:c>
      <x:c r="H55" s="172"/>
      <x:c r="I55" s="173"/>
      <x:c r="J55" s="173"/>
      <x:c r="K55" s="173"/>
      <x:c r="L55" s="173"/>
      <x:c r="M55" s="173"/>
      <x:c r="N55" s="173"/>
      <x:c r="O55" s="173"/>
      <x:c r="P55" s="173"/>
      <x:c r="Q55" s="173"/>
      <x:c r="R55" s="173"/>
      <x:c r="S55" s="173"/>
      <x:c r="T55" s="173"/>
      <x:c r="U55" s="173"/>
      <x:c r="V55" s="173"/>
      <x:c r="W55" s="173"/>
      <x:c r="X55" s="173"/>
      <x:c r="Y55" s="173"/>
      <x:c r="Z55" s="174"/>
      <x:c r="AA55" s="175" t="str">
        <x:f>IF(H55="","BOŞ",IF(AND(H55="READY_FOR_REVIEW",I55&lt;&gt;"",J55&lt;&gt;"",LEN(K55)=64,L55&lt;&gt;"",M55&lt;&gt;"",N55&lt;&gt;"",O55&lt;&gt;"",P55&lt;&gt;"",Q55&lt;&gt;"",R55&lt;&gt;"",S55&lt;&gt;"",T55&lt;&gt;"",U55&lt;&gt;"",V55&lt;&gt;"",W55&lt;&gt;"",X55&lt;&gt;"",W55&lt;&gt;X55,Y55&lt;&gt;""),"İNCELEMEYE_HAZIR","EKSİK"))</x:f>
        <x:v>BOŞ</x:v>
      </x:c>
    </x:row>
    <x:row r="56" ht="38" customHeight="1">
      <x:c r="A56" s="169" t="n">
        <x:v>51</x:v>
      </x:c>
      <x:c r="B56" s="170" t="str">
        <x:v>MI-001</x:v>
      </x:c>
      <x:c r="C56" s="170" t="str">
        <x:v>MI</x:v>
      </x:c>
      <x:c r="D56" s="170" t="str">
        <x:v>YENİ / ÖNERİLEN</x:v>
      </x:c>
      <x:c r="E56" s="170" t="str">
        <x:v>Piyasa Bütünlüğü ve Manipülasyona Dayanıklılık — MI</x:v>
      </x:c>
      <x:c r="F56" s="171" t="str">
        <x:v>Sistem kendi emirlerinin spoofing veya layering benzeri görünmesine ya da davranmasına yol açabilecek paterni izliyor mu?</x:v>
      </x:c>
      <x:c r="G56" s="170" t="str">
        <x:v>REVIEW_REQUIRED</x:v>
      </x:c>
      <x:c r="H56" s="172"/>
      <x:c r="I56" s="173"/>
      <x:c r="J56" s="173"/>
      <x:c r="K56" s="173"/>
      <x:c r="L56" s="173"/>
      <x:c r="M56" s="173"/>
      <x:c r="N56" s="173"/>
      <x:c r="O56" s="173"/>
      <x:c r="P56" s="173"/>
      <x:c r="Q56" s="173"/>
      <x:c r="R56" s="173"/>
      <x:c r="S56" s="173"/>
      <x:c r="T56" s="173"/>
      <x:c r="U56" s="173"/>
      <x:c r="V56" s="173"/>
      <x:c r="W56" s="173"/>
      <x:c r="X56" s="173"/>
      <x:c r="Y56" s="173"/>
      <x:c r="Z56" s="174"/>
      <x:c r="AA56" s="175" t="str">
        <x:f>IF(H56="","BOŞ",IF(AND(H56="READY_FOR_REVIEW",I56&lt;&gt;"",J56&lt;&gt;"",LEN(K56)=64,L56&lt;&gt;"",M56&lt;&gt;"",N56&lt;&gt;"",O56&lt;&gt;"",P56&lt;&gt;"",Q56&lt;&gt;"",R56&lt;&gt;"",S56&lt;&gt;"",T56&lt;&gt;"",U56&lt;&gt;"",V56&lt;&gt;"",W56&lt;&gt;"",X56&lt;&gt;"",W56&lt;&gt;X56,Y56&lt;&gt;""),"İNCELEMEYE_HAZIR","EKSİK"))</x:f>
        <x:v>BOŞ</x:v>
      </x:c>
    </x:row>
    <x:row r="57" ht="38" customHeight="1">
      <x:c r="A57" s="169" t="n">
        <x:v>52</x:v>
      </x:c>
      <x:c r="B57" s="170" t="str">
        <x:v>MI-002</x:v>
      </x:c>
      <x:c r="C57" s="170" t="str">
        <x:v>MI</x:v>
      </x:c>
      <x:c r="D57" s="170" t="str">
        <x:v>YENİ / ÖNERİLEN</x:v>
      </x:c>
      <x:c r="E57" s="170" t="str">
        <x:v>Piyasa Bütünlüğü ve Manipülasyona Dayanıklılık — MI</x:v>
      </x:c>
      <x:c r="F57" s="171" t="str">
        <x:v>Wash trade ve ekonomik sahiplik bazlı self-trade riski venue'ler ve hesaplar arasında ölçülüyor mu?</x:v>
      </x:c>
      <x:c r="G57" s="170" t="str">
        <x:v>REVIEW_REQUIRED</x:v>
      </x:c>
      <x:c r="H57" s="172"/>
      <x:c r="I57" s="173"/>
      <x:c r="J57" s="173"/>
      <x:c r="K57" s="173"/>
      <x:c r="L57" s="173"/>
      <x:c r="M57" s="173"/>
      <x:c r="N57" s="173"/>
      <x:c r="O57" s="173"/>
      <x:c r="P57" s="173"/>
      <x:c r="Q57" s="173"/>
      <x:c r="R57" s="173"/>
      <x:c r="S57" s="173"/>
      <x:c r="T57" s="173"/>
      <x:c r="U57" s="173"/>
      <x:c r="V57" s="173"/>
      <x:c r="W57" s="173"/>
      <x:c r="X57" s="173"/>
      <x:c r="Y57" s="173"/>
      <x:c r="Z57" s="174"/>
      <x:c r="AA57" s="175" t="str">
        <x:f>IF(H57="","BOŞ",IF(AND(H57="READY_FOR_REVIEW",I57&lt;&gt;"",J57&lt;&gt;"",LEN(K57)=64,L57&lt;&gt;"",M57&lt;&gt;"",N57&lt;&gt;"",O57&lt;&gt;"",P57&lt;&gt;"",Q57&lt;&gt;"",R57&lt;&gt;"",S57&lt;&gt;"",T57&lt;&gt;"",U57&lt;&gt;"",V57&lt;&gt;"",W57&lt;&gt;"",X57&lt;&gt;"",W57&lt;&gt;X57,Y57&lt;&gt;""),"İNCELEMEYE_HAZIR","EKSİK"))</x:f>
        <x:v>BOŞ</x:v>
      </x:c>
    </x:row>
    <x:row r="58" ht="38" customHeight="1">
      <x:c r="A58" s="169" t="n">
        <x:v>53</x:v>
      </x:c>
      <x:c r="B58" s="170" t="str">
        <x:v>MI-003</x:v>
      </x:c>
      <x:c r="C58" s="170" t="str">
        <x:v>MI</x:v>
      </x:c>
      <x:c r="D58" s="170" t="str">
        <x:v>YENİ / ÖNERİLEN</x:v>
      </x:c>
      <x:c r="E58" s="170" t="str">
        <x:v>Piyasa Bütünlüğü ve Manipülasyona Dayanıklılık — MI</x:v>
      </x:c>
      <x:c r="F58" s="171" t="str">
        <x:v>Momentum ignition, marking-the-close/open ve fiyatı etkileme riski için davranışsal kontroller var mı?</x:v>
      </x:c>
      <x:c r="G58" s="170" t="str">
        <x:v>REVIEW_REQUIRED</x:v>
      </x:c>
      <x:c r="H58" s="172"/>
      <x:c r="I58" s="173"/>
      <x:c r="J58" s="173"/>
      <x:c r="K58" s="173"/>
      <x:c r="L58" s="173"/>
      <x:c r="M58" s="173"/>
      <x:c r="N58" s="173"/>
      <x:c r="O58" s="173"/>
      <x:c r="P58" s="173"/>
      <x:c r="Q58" s="173"/>
      <x:c r="R58" s="173"/>
      <x:c r="S58" s="173"/>
      <x:c r="T58" s="173"/>
      <x:c r="U58" s="173"/>
      <x:c r="V58" s="173"/>
      <x:c r="W58" s="173"/>
      <x:c r="X58" s="173"/>
      <x:c r="Y58" s="173"/>
      <x:c r="Z58" s="174"/>
      <x:c r="AA58" s="175" t="str">
        <x:f>IF(H58="","BOŞ",IF(AND(H58="READY_FOR_REVIEW",I58&lt;&gt;"",J58&lt;&gt;"",LEN(K58)=64,L58&lt;&gt;"",M58&lt;&gt;"",N58&lt;&gt;"",O58&lt;&gt;"",P58&lt;&gt;"",Q58&lt;&gt;"",R58&lt;&gt;"",S58&lt;&gt;"",T58&lt;&gt;"",U58&lt;&gt;"",V58&lt;&gt;"",W58&lt;&gt;"",X58&lt;&gt;"",W58&lt;&gt;X58,Y58&lt;&gt;""),"İNCELEMEYE_HAZIR","EKSİK"))</x:f>
        <x:v>BOŞ</x:v>
      </x:c>
    </x:row>
    <x:row r="59" ht="38" customHeight="1">
      <x:c r="A59" s="169" t="n">
        <x:v>54</x:v>
      </x:c>
      <x:c r="B59" s="170" t="str">
        <x:v>MI-004</x:v>
      </x:c>
      <x:c r="C59" s="170" t="str">
        <x:v>MI</x:v>
      </x:c>
      <x:c r="D59" s="170" t="str">
        <x:v>YENİ / ÖNERİLEN</x:v>
      </x:c>
      <x:c r="E59" s="170" t="str">
        <x:v>Piyasa Bütünlüğü ve Manipülasyona Dayanıklılık — MI</x:v>
      </x:c>
      <x:c r="F59" s="171" t="str">
        <x:v>Gözetim tüm yeni emirleri, düzeltmeleri, iptalleri, redleri ve işlemleri kapsıyor mu?</x:v>
      </x:c>
      <x:c r="G59" s="170" t="str">
        <x:v>REVIEW_REQUIRED</x:v>
      </x:c>
      <x:c r="H59" s="172"/>
      <x:c r="I59" s="173"/>
      <x:c r="J59" s="173"/>
      <x:c r="K59" s="173"/>
      <x:c r="L59" s="173"/>
      <x:c r="M59" s="173"/>
      <x:c r="N59" s="173"/>
      <x:c r="O59" s="173"/>
      <x:c r="P59" s="173"/>
      <x:c r="Q59" s="173"/>
      <x:c r="R59" s="173"/>
      <x:c r="S59" s="173"/>
      <x:c r="T59" s="173"/>
      <x:c r="U59" s="173"/>
      <x:c r="V59" s="173"/>
      <x:c r="W59" s="173"/>
      <x:c r="X59" s="173"/>
      <x:c r="Y59" s="173"/>
      <x:c r="Z59" s="174"/>
      <x:c r="AA59" s="175" t="str">
        <x:f>IF(H59="","BOŞ",IF(AND(H59="READY_FOR_REVIEW",I59&lt;&gt;"",J59&lt;&gt;"",LEN(K59)=64,L59&lt;&gt;"",M59&lt;&gt;"",N59&lt;&gt;"",O59&lt;&gt;"",P59&lt;&gt;"",Q59&lt;&gt;"",R59&lt;&gt;"",S59&lt;&gt;"",T59&lt;&gt;"",U59&lt;&gt;"",V59&lt;&gt;"",W59&lt;&gt;"",X59&lt;&gt;"",W59&lt;&gt;X59,Y59&lt;&gt;""),"İNCELEMEYE_HAZIR","EKSİK"))</x:f>
        <x:v>BOŞ</x:v>
      </x:c>
    </x:row>
    <x:row r="60" ht="38" customHeight="1">
      <x:c r="A60" s="169" t="n">
        <x:v>55</x:v>
      </x:c>
      <x:c r="B60" s="170" t="str">
        <x:v>MI-005</x:v>
      </x:c>
      <x:c r="C60" s="170" t="str">
        <x:v>MI</x:v>
      </x:c>
      <x:c r="D60" s="170" t="str">
        <x:v>YENİ / ÖNERİLEN</x:v>
      </x:c>
      <x:c r="E60" s="170" t="str">
        <x:v>Piyasa Bütünlüğü ve Manipülasyona Dayanıklılık — MI</x:v>
      </x:c>
      <x:c r="F60" s="171" t="str">
        <x:v>Cross-venue ve cross-product manipülasyon paternleri ilişkili enstrümanlar üzerinden değerlendiriliyor mu?</x:v>
      </x:c>
      <x:c r="G60" s="170" t="str">
        <x:v>REVIEW_REQUIRED</x:v>
      </x:c>
      <x:c r="H60" s="172"/>
      <x:c r="I60" s="173"/>
      <x:c r="J60" s="173"/>
      <x:c r="K60" s="173"/>
      <x:c r="L60" s="173"/>
      <x:c r="M60" s="173"/>
      <x:c r="N60" s="173"/>
      <x:c r="O60" s="173"/>
      <x:c r="P60" s="173"/>
      <x:c r="Q60" s="173"/>
      <x:c r="R60" s="173"/>
      <x:c r="S60" s="173"/>
      <x:c r="T60" s="173"/>
      <x:c r="U60" s="173"/>
      <x:c r="V60" s="173"/>
      <x:c r="W60" s="173"/>
      <x:c r="X60" s="173"/>
      <x:c r="Y60" s="173"/>
      <x:c r="Z60" s="174"/>
      <x:c r="AA60" s="175" t="str">
        <x:f>IF(H60="","BOŞ",IF(AND(H60="READY_FOR_REVIEW",I60&lt;&gt;"",J60&lt;&gt;"",LEN(K60)=64,L60&lt;&gt;"",M60&lt;&gt;"",N60&lt;&gt;"",O60&lt;&gt;"",P60&lt;&gt;"",Q60&lt;&gt;"",R60&lt;&gt;"",S60&lt;&gt;"",T60&lt;&gt;"",U60&lt;&gt;"",V60&lt;&gt;"",W60&lt;&gt;"",X60&lt;&gt;"",W60&lt;&gt;X60,Y60&lt;&gt;""),"İNCELEMEYE_HAZIR","EKSİK"))</x:f>
        <x:v>BOŞ</x:v>
      </x:c>
    </x:row>
    <x:row r="61" ht="38" customHeight="1">
      <x:c r="A61" s="169" t="n">
        <x:v>56</x:v>
      </x:c>
      <x:c r="B61" s="170" t="str">
        <x:v>MI-006</x:v>
      </x:c>
      <x:c r="C61" s="170" t="str">
        <x:v>MI</x:v>
      </x:c>
      <x:c r="D61" s="170" t="str">
        <x:v>YENİ / ÖNERİLEN</x:v>
      </x:c>
      <x:c r="E61" s="170" t="str">
        <x:v>Piyasa Bütünlüğü ve Manipülasyona Dayanıklılık — MI</x:v>
      </x:c>
      <x:c r="F61" s="171" t="str">
        <x:v>Gözetim yalnızca gerçekleşen trade'lere değil, gerçekleşmeyen emir niyetinin davranışsal kanıtlarına da bakıyor mu?</x:v>
      </x:c>
      <x:c r="G61" s="170" t="str">
        <x:v>REVIEW_REQUIRED</x:v>
      </x:c>
      <x:c r="H61" s="172"/>
      <x:c r="I61" s="173"/>
      <x:c r="J61" s="173"/>
      <x:c r="K61" s="173"/>
      <x:c r="L61" s="173"/>
      <x:c r="M61" s="173"/>
      <x:c r="N61" s="173"/>
      <x:c r="O61" s="173"/>
      <x:c r="P61" s="173"/>
      <x:c r="Q61" s="173"/>
      <x:c r="R61" s="173"/>
      <x:c r="S61" s="173"/>
      <x:c r="T61" s="173"/>
      <x:c r="U61" s="173"/>
      <x:c r="V61" s="173"/>
      <x:c r="W61" s="173"/>
      <x:c r="X61" s="173"/>
      <x:c r="Y61" s="173"/>
      <x:c r="Z61" s="174"/>
      <x:c r="AA61" s="175" t="str">
        <x:f>IF(H61="","BOŞ",IF(AND(H61="READY_FOR_REVIEW",I61&lt;&gt;"",J61&lt;&gt;"",LEN(K61)=64,L61&lt;&gt;"",M61&lt;&gt;"",N61&lt;&gt;"",O61&lt;&gt;"",P61&lt;&gt;"",Q61&lt;&gt;"",R61&lt;&gt;"",S61&lt;&gt;"",T61&lt;&gt;"",U61&lt;&gt;"",V61&lt;&gt;"",W61&lt;&gt;"",X61&lt;&gt;"",W61&lt;&gt;X61,Y61&lt;&gt;""),"İNCELEMEYE_HAZIR","EKSİK"))</x:f>
        <x:v>BOŞ</x:v>
      </x:c>
    </x:row>
    <x:row r="62" ht="38" customHeight="1">
      <x:c r="A62" s="169" t="n">
        <x:v>57</x:v>
      </x:c>
      <x:c r="B62" s="170" t="str">
        <x:v>MI-007</x:v>
      </x:c>
      <x:c r="C62" s="170" t="str">
        <x:v>MI</x:v>
      </x:c>
      <x:c r="D62" s="170" t="str">
        <x:v>YENİ / ÖNERİLEN</x:v>
      </x:c>
      <x:c r="E62" s="170" t="str">
        <x:v>Piyasa Bütünlüğü ve Manipülasyona Dayanıklılık — MI</x:v>
      </x:c>
      <x:c r="F62" s="171" t="str">
        <x:v>Alert eşiği değişiklikleri versiyonlu, onaylı ve geçmiş alert seti üzerinde yeniden doğrulanmış mı?</x:v>
      </x:c>
      <x:c r="G62" s="170" t="str">
        <x:v>REVIEW_REQUIRED</x:v>
      </x:c>
      <x:c r="H62" s="172"/>
      <x:c r="I62" s="173"/>
      <x:c r="J62" s="173"/>
      <x:c r="K62" s="173"/>
      <x:c r="L62" s="173"/>
      <x:c r="M62" s="173"/>
      <x:c r="N62" s="173"/>
      <x:c r="O62" s="173"/>
      <x:c r="P62" s="173"/>
      <x:c r="Q62" s="173"/>
      <x:c r="R62" s="173"/>
      <x:c r="S62" s="173"/>
      <x:c r="T62" s="173"/>
      <x:c r="U62" s="173"/>
      <x:c r="V62" s="173"/>
      <x:c r="W62" s="173"/>
      <x:c r="X62" s="173"/>
      <x:c r="Y62" s="173"/>
      <x:c r="Z62" s="174"/>
      <x:c r="AA62" s="175" t="str">
        <x:f>IF(H62="","BOŞ",IF(AND(H62="READY_FOR_REVIEW",I62&lt;&gt;"",J62&lt;&gt;"",LEN(K62)=64,L62&lt;&gt;"",M62&lt;&gt;"",N62&lt;&gt;"",O62&lt;&gt;"",P62&lt;&gt;"",Q62&lt;&gt;"",R62&lt;&gt;"",S62&lt;&gt;"",T62&lt;&gt;"",U62&lt;&gt;"",V62&lt;&gt;"",W62&lt;&gt;"",X62&lt;&gt;"",W62&lt;&gt;X62,Y62&lt;&gt;""),"İNCELEMEYE_HAZIR","EKSİK"))</x:f>
        <x:v>BOŞ</x:v>
      </x:c>
    </x:row>
    <x:row r="63" ht="38" customHeight="1">
      <x:c r="A63" s="169" t="n">
        <x:v>58</x:v>
      </x:c>
      <x:c r="B63" s="170" t="str">
        <x:v>MI-008</x:v>
      </x:c>
      <x:c r="C63" s="170" t="str">
        <x:v>MI</x:v>
      </x:c>
      <x:c r="D63" s="170" t="str">
        <x:v>YENİ / ÖNERİLEN</x:v>
      </x:c>
      <x:c r="E63" s="170" t="str">
        <x:v>Piyasa Bütünlüğü ve Manipülasyona Dayanıklılık — MI</x:v>
      </x:c>
      <x:c r="F63" s="171" t="str">
        <x:v>Yanlış pozitif alert maliyeti ile kaçırılan kötüye kullanım riski ayrı ölçülüyor mu?</x:v>
      </x:c>
      <x:c r="G63" s="170" t="str">
        <x:v>REVIEW_REQUIRED</x:v>
      </x:c>
      <x:c r="H63" s="172"/>
      <x:c r="I63" s="173"/>
      <x:c r="J63" s="173"/>
      <x:c r="K63" s="173"/>
      <x:c r="L63" s="173"/>
      <x:c r="M63" s="173"/>
      <x:c r="N63" s="173"/>
      <x:c r="O63" s="173"/>
      <x:c r="P63" s="173"/>
      <x:c r="Q63" s="173"/>
      <x:c r="R63" s="173"/>
      <x:c r="S63" s="173"/>
      <x:c r="T63" s="173"/>
      <x:c r="U63" s="173"/>
      <x:c r="V63" s="173"/>
      <x:c r="W63" s="173"/>
      <x:c r="X63" s="173"/>
      <x:c r="Y63" s="173"/>
      <x:c r="Z63" s="174"/>
      <x:c r="AA63" s="175" t="str">
        <x:f>IF(H63="","BOŞ",IF(AND(H63="READY_FOR_REVIEW",I63&lt;&gt;"",J63&lt;&gt;"",LEN(K63)=64,L63&lt;&gt;"",M63&lt;&gt;"",N63&lt;&gt;"",O63&lt;&gt;"",P63&lt;&gt;"",Q63&lt;&gt;"",R63&lt;&gt;"",S63&lt;&gt;"",T63&lt;&gt;"",U63&lt;&gt;"",V63&lt;&gt;"",W63&lt;&gt;"",X63&lt;&gt;"",W63&lt;&gt;X63,Y63&lt;&gt;""),"İNCELEMEYE_HAZIR","EKSİK"))</x:f>
        <x:v>BOŞ</x:v>
      </x:c>
    </x:row>
    <x:row r="64" ht="38" customHeight="1">
      <x:c r="A64" s="169" t="n">
        <x:v>59</x:v>
      </x:c>
      <x:c r="B64" s="170" t="str">
        <x:v>MI-009</x:v>
      </x:c>
      <x:c r="C64" s="170" t="str">
        <x:v>MI</x:v>
      </x:c>
      <x:c r="D64" s="170" t="str">
        <x:v>YENİ / ÖNERİLEN</x:v>
      </x:c>
      <x:c r="E64" s="170" t="str">
        <x:v>Piyasa Bütünlüğü ve Manipülasyona Dayanıklılık — MI</x:v>
      </x:c>
      <x:c r="F64" s="171" t="str">
        <x:v>Manipülasyon sinyali oluştuğunda yeni emir yetkisi ile mevcut risk azaltma yetkisi doğru ayrılıyor mu?</x:v>
      </x:c>
      <x:c r="G64" s="170" t="str">
        <x:v>REVIEW_REQUIRED</x:v>
      </x:c>
      <x:c r="H64" s="172"/>
      <x:c r="I64" s="173"/>
      <x:c r="J64" s="173"/>
      <x:c r="K64" s="173"/>
      <x:c r="L64" s="173"/>
      <x:c r="M64" s="173"/>
      <x:c r="N64" s="173"/>
      <x:c r="O64" s="173"/>
      <x:c r="P64" s="173"/>
      <x:c r="Q64" s="173"/>
      <x:c r="R64" s="173"/>
      <x:c r="S64" s="173"/>
      <x:c r="T64" s="173"/>
      <x:c r="U64" s="173"/>
      <x:c r="V64" s="173"/>
      <x:c r="W64" s="173"/>
      <x:c r="X64" s="173"/>
      <x:c r="Y64" s="173"/>
      <x:c r="Z64" s="174"/>
      <x:c r="AA64" s="175" t="str">
        <x:f>IF(H64="","BOŞ",IF(AND(H64="READY_FOR_REVIEW",I64&lt;&gt;"",J64&lt;&gt;"",LEN(K64)=64,L64&lt;&gt;"",M64&lt;&gt;"",N64&lt;&gt;"",O64&lt;&gt;"",P64&lt;&gt;"",Q64&lt;&gt;"",R64&lt;&gt;"",S64&lt;&gt;"",T64&lt;&gt;"",U64&lt;&gt;"",V64&lt;&gt;"",W64&lt;&gt;"",X64&lt;&gt;"",W64&lt;&gt;X64,Y64&lt;&gt;""),"İNCELEMEYE_HAZIR","EKSİK"))</x:f>
        <x:v>BOŞ</x:v>
      </x:c>
    </x:row>
    <x:row r="65" ht="38" customHeight="1">
      <x:c r="A65" s="169" t="n">
        <x:v>60</x:v>
      </x:c>
      <x:c r="B65" s="170" t="str">
        <x:v>MI-010</x:v>
      </x:c>
      <x:c r="C65" s="170" t="str">
        <x:v>MI</x:v>
      </x:c>
      <x:c r="D65" s="170" t="str">
        <x:v>YENİ / ÖNERİLEN</x:v>
      </x:c>
      <x:c r="E65" s="170" t="str">
        <x:v>Piyasa Bütünlüğü ve Manipülasyona Dayanıklılık — MI</x:v>
      </x:c>
      <x:c r="F65" s="171" t="str">
        <x:v>Model veya AI, P&amp;L amacıyla gözetim eşiğini gevşetemiyor mu?</x:v>
      </x:c>
      <x:c r="G65" s="170" t="str">
        <x:v>REVIEW_REQUIRED</x:v>
      </x:c>
      <x:c r="H65" s="172"/>
      <x:c r="I65" s="173"/>
      <x:c r="J65" s="173"/>
      <x:c r="K65" s="173"/>
      <x:c r="L65" s="173"/>
      <x:c r="M65" s="173"/>
      <x:c r="N65" s="173"/>
      <x:c r="O65" s="173"/>
      <x:c r="P65" s="173"/>
      <x:c r="Q65" s="173"/>
      <x:c r="R65" s="173"/>
      <x:c r="S65" s="173"/>
      <x:c r="T65" s="173"/>
      <x:c r="U65" s="173"/>
      <x:c r="V65" s="173"/>
      <x:c r="W65" s="173"/>
      <x:c r="X65" s="173"/>
      <x:c r="Y65" s="173"/>
      <x:c r="Z65" s="174"/>
      <x:c r="AA65" s="175" t="str">
        <x:f>IF(H65="","BOŞ",IF(AND(H65="READY_FOR_REVIEW",I65&lt;&gt;"",J65&lt;&gt;"",LEN(K65)=64,L65&lt;&gt;"",M65&lt;&gt;"",N65&lt;&gt;"",O65&lt;&gt;"",P65&lt;&gt;"",Q65&lt;&gt;"",R65&lt;&gt;"",S65&lt;&gt;"",T65&lt;&gt;"",U65&lt;&gt;"",V65&lt;&gt;"",W65&lt;&gt;"",X65&lt;&gt;"",W65&lt;&gt;X65,Y65&lt;&gt;""),"İNCELEMEYE_HAZIR","EKSİK"))</x:f>
        <x:v>BOŞ</x:v>
      </x:c>
    </x:row>
    <x:row r="66" ht="38" customHeight="1">
      <x:c r="A66" s="169" t="n">
        <x:v>61</x:v>
      </x:c>
      <x:c r="B66" s="170" t="str">
        <x:v>MI-011</x:v>
      </x:c>
      <x:c r="C66" s="170" t="str">
        <x:v>MI</x:v>
      </x:c>
      <x:c r="D66" s="170" t="str">
        <x:v>YENİ / ÖNERİLEN</x:v>
      </x:c>
      <x:c r="E66" s="170" t="str">
        <x:v>Piyasa Bütünlüğü ve Manipülasyona Dayanıklılık — MI</x:v>
      </x:c>
      <x:c r="F66" s="171" t="str">
        <x:v>Araştırma optimizasyonu farkında olmadan yasa dışı veya düzensiz piyasa davranışını ödüllendiriyor mu?</x:v>
      </x:c>
      <x:c r="G66" s="170" t="str">
        <x:v>REVIEW_REQUIRED</x:v>
      </x:c>
      <x:c r="H66" s="172"/>
      <x:c r="I66" s="173"/>
      <x:c r="J66" s="173"/>
      <x:c r="K66" s="173"/>
      <x:c r="L66" s="173"/>
      <x:c r="M66" s="173"/>
      <x:c r="N66" s="173"/>
      <x:c r="O66" s="173"/>
      <x:c r="P66" s="173"/>
      <x:c r="Q66" s="173"/>
      <x:c r="R66" s="173"/>
      <x:c r="S66" s="173"/>
      <x:c r="T66" s="173"/>
      <x:c r="U66" s="173"/>
      <x:c r="V66" s="173"/>
      <x:c r="W66" s="173"/>
      <x:c r="X66" s="173"/>
      <x:c r="Y66" s="173"/>
      <x:c r="Z66" s="174"/>
      <x:c r="AA66" s="175" t="str">
        <x:f>IF(H66="","BOŞ",IF(AND(H66="READY_FOR_REVIEW",I66&lt;&gt;"",J66&lt;&gt;"",LEN(K66)=64,L66&lt;&gt;"",M66&lt;&gt;"",N66&lt;&gt;"",O66&lt;&gt;"",P66&lt;&gt;"",Q66&lt;&gt;"",R66&lt;&gt;"",S66&lt;&gt;"",T66&lt;&gt;"",U66&lt;&gt;"",V66&lt;&gt;"",W66&lt;&gt;"",X66&lt;&gt;"",W66&lt;&gt;X66,Y66&lt;&gt;""),"İNCELEMEYE_HAZIR","EKSİK"))</x:f>
        <x:v>BOŞ</x:v>
      </x:c>
    </x:row>
    <x:row r="67" ht="38" customHeight="1">
      <x:c r="A67" s="169" t="n">
        <x:v>62</x:v>
      </x:c>
      <x:c r="B67" s="170" t="str">
        <x:v>MI-012</x:v>
      </x:c>
      <x:c r="C67" s="170" t="str">
        <x:v>MI</x:v>
      </x:c>
      <x:c r="D67" s="170" t="str">
        <x:v>YENİ / ÖNERİLEN</x:v>
      </x:c>
      <x:c r="E67" s="170" t="str">
        <x:v>Piyasa Bütünlüğü ve Manipülasyona Dayanıklılık — MI</x:v>
      </x:c>
      <x:c r="F67" s="171" t="str">
        <x:v>Quote stuffing veya mesaj fırtınası sahte likidite/yanlış sinyal ürettiğinde dependent strateji korunuyor mu?</x:v>
      </x:c>
      <x:c r="G67" s="170" t="str">
        <x:v>REVIEW_REQUIRED</x:v>
      </x:c>
      <x:c r="H67" s="172"/>
      <x:c r="I67" s="173"/>
      <x:c r="J67" s="173"/>
      <x:c r="K67" s="173"/>
      <x:c r="L67" s="173"/>
      <x:c r="M67" s="173"/>
      <x:c r="N67" s="173"/>
      <x:c r="O67" s="173"/>
      <x:c r="P67" s="173"/>
      <x:c r="Q67" s="173"/>
      <x:c r="R67" s="173"/>
      <x:c r="S67" s="173"/>
      <x:c r="T67" s="173"/>
      <x:c r="U67" s="173"/>
      <x:c r="V67" s="173"/>
      <x:c r="W67" s="173"/>
      <x:c r="X67" s="173"/>
      <x:c r="Y67" s="173"/>
      <x:c r="Z67" s="174"/>
      <x:c r="AA67" s="175" t="str">
        <x:f>IF(H67="","BOŞ",IF(AND(H67="READY_FOR_REVIEW",I67&lt;&gt;"",J67&lt;&gt;"",LEN(K67)=64,L67&lt;&gt;"",M67&lt;&gt;"",N67&lt;&gt;"",O67&lt;&gt;"",P67&lt;&gt;"",Q67&lt;&gt;"",R67&lt;&gt;"",S67&lt;&gt;"",T67&lt;&gt;"",U67&lt;&gt;"",V67&lt;&gt;"",W67&lt;&gt;"",X67&lt;&gt;"",W67&lt;&gt;X67,Y67&lt;&gt;""),"İNCELEMEYE_HAZIR","EKSİK"))</x:f>
        <x:v>BOŞ</x:v>
      </x:c>
    </x:row>
    <x:row r="68" ht="38" customHeight="1">
      <x:c r="A68" s="169" t="n">
        <x:v>63</x:v>
      </x:c>
      <x:c r="B68" s="170" t="str">
        <x:v>MI-013</x:v>
      </x:c>
      <x:c r="C68" s="170" t="str">
        <x:v>MI</x:v>
      </x:c>
      <x:c r="D68" s="170" t="str">
        <x:v>YENİ / ÖNERİLEN</x:v>
      </x:c>
      <x:c r="E68" s="170" t="str">
        <x:v>Piyasa Bütünlüğü ve Manipülasyona Dayanıklılık — MI</x:v>
      </x:c>
      <x:c r="F68" s="171" t="str">
        <x:v>Hızlı ekle-iptal, iceberg, replenishment ve gerçek likidite birbirinden belirsizlikle ayrıştırılıyor mu?</x:v>
      </x:c>
      <x:c r="G68" s="170" t="str">
        <x:v>REVIEW_REQUIRED</x:v>
      </x:c>
      <x:c r="H68" s="172"/>
      <x:c r="I68" s="173"/>
      <x:c r="J68" s="173"/>
      <x:c r="K68" s="173"/>
      <x:c r="L68" s="173"/>
      <x:c r="M68" s="173"/>
      <x:c r="N68" s="173"/>
      <x:c r="O68" s="173"/>
      <x:c r="P68" s="173"/>
      <x:c r="Q68" s="173"/>
      <x:c r="R68" s="173"/>
      <x:c r="S68" s="173"/>
      <x:c r="T68" s="173"/>
      <x:c r="U68" s="173"/>
      <x:c r="V68" s="173"/>
      <x:c r="W68" s="173"/>
      <x:c r="X68" s="173"/>
      <x:c r="Y68" s="173"/>
      <x:c r="Z68" s="174"/>
      <x:c r="AA68" s="175" t="str">
        <x:f>IF(H68="","BOŞ",IF(AND(H68="READY_FOR_REVIEW",I68&lt;&gt;"",J68&lt;&gt;"",LEN(K68)=64,L68&lt;&gt;"",M68&lt;&gt;"",N68&lt;&gt;"",O68&lt;&gt;"",P68&lt;&gt;"",Q68&lt;&gt;"",R68&lt;&gt;"",S68&lt;&gt;"",T68&lt;&gt;"",U68&lt;&gt;"",V68&lt;&gt;"",W68&lt;&gt;"",X68&lt;&gt;"",W68&lt;&gt;X68,Y68&lt;&gt;""),"İNCELEMEYE_HAZIR","EKSİK"))</x:f>
        <x:v>BOŞ</x:v>
      </x:c>
    </x:row>
    <x:row r="69" ht="38" customHeight="1">
      <x:c r="A69" s="169" t="n">
        <x:v>64</x:v>
      </x:c>
      <x:c r="B69" s="170" t="str">
        <x:v>MI-014</x:v>
      </x:c>
      <x:c r="C69" s="170" t="str">
        <x:v>MI</x:v>
      </x:c>
      <x:c r="D69" s="170" t="str">
        <x:v>YENİ / KOŞULLU</x:v>
      </x:c>
      <x:c r="E69" s="170" t="str">
        <x:v>Piyasa Bütünlüğü ve Manipülasyona Dayanıklılık — MI</x:v>
      </x:c>
      <x:c r="F69" s="171" t="str">
        <x:v>Pump-and-dump veya koordine sosyal medya akışı veri kaynağını ve alpha'yı karantinaya alabiliyor mu?</x:v>
      </x:c>
      <x:c r="G69" s="170" t="str">
        <x:v>REVIEW_REQUIRED</x:v>
      </x:c>
      <x:c r="H69" s="172"/>
      <x:c r="I69" s="173"/>
      <x:c r="J69" s="173"/>
      <x:c r="K69" s="173"/>
      <x:c r="L69" s="173"/>
      <x:c r="M69" s="173"/>
      <x:c r="N69" s="173"/>
      <x:c r="O69" s="173"/>
      <x:c r="P69" s="173"/>
      <x:c r="Q69" s="173"/>
      <x:c r="R69" s="173"/>
      <x:c r="S69" s="173"/>
      <x:c r="T69" s="173"/>
      <x:c r="U69" s="173"/>
      <x:c r="V69" s="173"/>
      <x:c r="W69" s="173"/>
      <x:c r="X69" s="173"/>
      <x:c r="Y69" s="173"/>
      <x:c r="Z69" s="174"/>
      <x:c r="AA69" s="175" t="str">
        <x:f>IF(H69="","BOŞ",IF(AND(H69="READY_FOR_REVIEW",I69&lt;&gt;"",J69&lt;&gt;"",LEN(K69)=64,L69&lt;&gt;"",M69&lt;&gt;"",N69&lt;&gt;"",O69&lt;&gt;"",P69&lt;&gt;"",Q69&lt;&gt;"",R69&lt;&gt;"",S69&lt;&gt;"",T69&lt;&gt;"",U69&lt;&gt;"",V69&lt;&gt;"",W69&lt;&gt;"",X69&lt;&gt;"",W69&lt;&gt;X69,Y69&lt;&gt;""),"İNCELEMEYE_HAZIR","EKSİK"))</x:f>
        <x:v>BOŞ</x:v>
      </x:c>
    </x:row>
    <x:row r="70" ht="38" customHeight="1">
      <x:c r="A70" s="169" t="n">
        <x:v>65</x:v>
      </x:c>
      <x:c r="B70" s="170" t="str">
        <x:v>MI-015</x:v>
      </x:c>
      <x:c r="C70" s="170" t="str">
        <x:v>MI</x:v>
      </x:c>
      <x:c r="D70" s="170" t="str">
        <x:v>YENİ / KOŞULLU</x:v>
      </x:c>
      <x:c r="E70" s="170" t="str">
        <x:v>Piyasa Bütünlüğü ve Manipülasyona Dayanıklılık — MI</x:v>
      </x:c>
      <x:c r="F70" s="171" t="str">
        <x:v>Sahte haber, düzeltilmiş haber ve kaynak taklidi event engine tarafından tespit edilebiliyor mu?</x:v>
      </x:c>
      <x:c r="G70" s="170" t="str">
        <x:v>REVIEW_REQUIRED</x:v>
      </x:c>
      <x:c r="H70" s="172"/>
      <x:c r="I70" s="173"/>
      <x:c r="J70" s="173"/>
      <x:c r="K70" s="173"/>
      <x:c r="L70" s="173"/>
      <x:c r="M70" s="173"/>
      <x:c r="N70" s="173"/>
      <x:c r="O70" s="173"/>
      <x:c r="P70" s="173"/>
      <x:c r="Q70" s="173"/>
      <x:c r="R70" s="173"/>
      <x:c r="S70" s="173"/>
      <x:c r="T70" s="173"/>
      <x:c r="U70" s="173"/>
      <x:c r="V70" s="173"/>
      <x:c r="W70" s="173"/>
      <x:c r="X70" s="173"/>
      <x:c r="Y70" s="173"/>
      <x:c r="Z70" s="174"/>
      <x:c r="AA70" s="175" t="str">
        <x:f>IF(H70="","BOŞ",IF(AND(H70="READY_FOR_REVIEW",I70&lt;&gt;"",J70&lt;&gt;"",LEN(K70)=64,L70&lt;&gt;"",M70&lt;&gt;"",N70&lt;&gt;"",O70&lt;&gt;"",P70&lt;&gt;"",Q70&lt;&gt;"",R70&lt;&gt;"",S70&lt;&gt;"",T70&lt;&gt;"",U70&lt;&gt;"",V70&lt;&gt;"",W70&lt;&gt;"",X70&lt;&gt;"",W70&lt;&gt;X70,Y70&lt;&gt;""),"İNCELEMEYE_HAZIR","EKSİK"))</x:f>
        <x:v>BOŞ</x:v>
      </x:c>
    </x:row>
    <x:row r="71" ht="38" customHeight="1">
      <x:c r="A71" s="169" t="n">
        <x:v>66</x:v>
      </x:c>
      <x:c r="B71" s="170" t="str">
        <x:v>MI-016</x:v>
      </x:c>
      <x:c r="C71" s="170" t="str">
        <x:v>MI</x:v>
      </x:c>
      <x:c r="D71" s="170" t="str">
        <x:v>YENİ / ÖNERİLEN</x:v>
      </x:c>
      <x:c r="E71" s="170" t="str">
        <x:v>Piyasa Bütünlüğü ve Manipülasyona Dayanıklılık — MI</x:v>
      </x:c>
      <x:c r="F71" s="171" t="str">
        <x:v>Anormal fiyat/volume olayı otomatik olarak trade sinyali sayılmadan önce bütünlük kontrollerinden geçiyor mu?</x:v>
      </x:c>
      <x:c r="G71" s="170" t="str">
        <x:v>REVIEW_REQUIRED</x:v>
      </x:c>
      <x:c r="H71" s="172"/>
      <x:c r="I71" s="173"/>
      <x:c r="J71" s="173"/>
      <x:c r="K71" s="173"/>
      <x:c r="L71" s="173"/>
      <x:c r="M71" s="173"/>
      <x:c r="N71" s="173"/>
      <x:c r="O71" s="173"/>
      <x:c r="P71" s="173"/>
      <x:c r="Q71" s="173"/>
      <x:c r="R71" s="173"/>
      <x:c r="S71" s="173"/>
      <x:c r="T71" s="173"/>
      <x:c r="U71" s="173"/>
      <x:c r="V71" s="173"/>
      <x:c r="W71" s="173"/>
      <x:c r="X71" s="173"/>
      <x:c r="Y71" s="173"/>
      <x:c r="Z71" s="174"/>
      <x:c r="AA71" s="175" t="str">
        <x:f>IF(H71="","BOŞ",IF(AND(H71="READY_FOR_REVIEW",I71&lt;&gt;"",J71&lt;&gt;"",LEN(K71)=64,L71&lt;&gt;"",M71&lt;&gt;"",N71&lt;&gt;"",O71&lt;&gt;"",P71&lt;&gt;"",Q71&lt;&gt;"",R71&lt;&gt;"",S71&lt;&gt;"",T71&lt;&gt;"",U71&lt;&gt;"",V71&lt;&gt;"",W71&lt;&gt;"",X71&lt;&gt;"",W71&lt;&gt;X71,Y71&lt;&gt;""),"İNCELEMEYE_HAZIR","EKSİK"))</x:f>
        <x:v>BOŞ</x:v>
      </x:c>
    </x:row>
    <x:row r="72" ht="38" customHeight="1">
      <x:c r="A72" s="169" t="n">
        <x:v>67</x:v>
      </x:c>
      <x:c r="B72" s="170" t="str">
        <x:v>MI-017</x:v>
      </x:c>
      <x:c r="C72" s="170" t="str">
        <x:v>MI</x:v>
      </x:c>
      <x:c r="D72" s="170" t="str">
        <x:v>YENİ / ÖNERİLEN</x:v>
      </x:c>
      <x:c r="E72" s="170" t="str">
        <x:v>Piyasa Bütünlüğü ve Manipülasyona Dayanıklılık — MI</x:v>
      </x:c>
      <x:c r="F72" s="171" t="str">
        <x:v>Manipülasyon şüphesinde kullanılan order-book kanıtı tam, sıralı ve zaman senkronlu mu?</x:v>
      </x:c>
      <x:c r="G72" s="170" t="str">
        <x:v>REVIEW_REQUIRED</x:v>
      </x:c>
      <x:c r="H72" s="172"/>
      <x:c r="I72" s="173"/>
      <x:c r="J72" s="173"/>
      <x:c r="K72" s="173"/>
      <x:c r="L72" s="173"/>
      <x:c r="M72" s="173"/>
      <x:c r="N72" s="173"/>
      <x:c r="O72" s="173"/>
      <x:c r="P72" s="173"/>
      <x:c r="Q72" s="173"/>
      <x:c r="R72" s="173"/>
      <x:c r="S72" s="173"/>
      <x:c r="T72" s="173"/>
      <x:c r="U72" s="173"/>
      <x:c r="V72" s="173"/>
      <x:c r="W72" s="173"/>
      <x:c r="X72" s="173"/>
      <x:c r="Y72" s="173"/>
      <x:c r="Z72" s="174"/>
      <x:c r="AA72" s="175" t="str">
        <x:f>IF(H72="","BOŞ",IF(AND(H72="READY_FOR_REVIEW",I72&lt;&gt;"",J72&lt;&gt;"",LEN(K72)=64,L72&lt;&gt;"",M72&lt;&gt;"",N72&lt;&gt;"",O72&lt;&gt;"",P72&lt;&gt;"",Q72&lt;&gt;"",R72&lt;&gt;"",S72&lt;&gt;"",T72&lt;&gt;"",U72&lt;&gt;"",V72&lt;&gt;"",W72&lt;&gt;"",X72&lt;&gt;"",W72&lt;&gt;X72,Y72&lt;&gt;""),"İNCELEMEYE_HAZIR","EKSİK"))</x:f>
        <x:v>BOŞ</x:v>
      </x:c>
    </x:row>
    <x:row r="73" ht="38" customHeight="1">
      <x:c r="A73" s="169" t="n">
        <x:v>68</x:v>
      </x:c>
      <x:c r="B73" s="170" t="str">
        <x:v>MI-018</x:v>
      </x:c>
      <x:c r="C73" s="170" t="str">
        <x:v>MI</x:v>
      </x:c>
      <x:c r="D73" s="170" t="str">
        <x:v>YENİ / ÖNERİLEN</x:v>
      </x:c>
      <x:c r="E73" s="170" t="str">
        <x:v>Piyasa Bütünlüğü ve Manipülasyona Dayanıklılık — MI</x:v>
      </x:c>
      <x:c r="F73" s="171" t="str">
        <x:v>Venue veya veri kaynağı eksikliği gözetimde kör nokta oluşturduğunda kapsam açıkça UNKNOWN oluyor mu?</x:v>
      </x:c>
      <x:c r="G73" s="170" t="str">
        <x:v>REVIEW_REQUIRED</x:v>
      </x:c>
      <x:c r="H73" s="172"/>
      <x:c r="I73" s="173"/>
      <x:c r="J73" s="173"/>
      <x:c r="K73" s="173"/>
      <x:c r="L73" s="173"/>
      <x:c r="M73" s="173"/>
      <x:c r="N73" s="173"/>
      <x:c r="O73" s="173"/>
      <x:c r="P73" s="173"/>
      <x:c r="Q73" s="173"/>
      <x:c r="R73" s="173"/>
      <x:c r="S73" s="173"/>
      <x:c r="T73" s="173"/>
      <x:c r="U73" s="173"/>
      <x:c r="V73" s="173"/>
      <x:c r="W73" s="173"/>
      <x:c r="X73" s="173"/>
      <x:c r="Y73" s="173"/>
      <x:c r="Z73" s="174"/>
      <x:c r="AA73" s="175" t="str">
        <x:f>IF(H73="","BOŞ",IF(AND(H73="READY_FOR_REVIEW",I73&lt;&gt;"",J73&lt;&gt;"",LEN(K73)=64,L73&lt;&gt;"",M73&lt;&gt;"",N73&lt;&gt;"",O73&lt;&gt;"",P73&lt;&gt;"",Q73&lt;&gt;"",R73&lt;&gt;"",S73&lt;&gt;"",T73&lt;&gt;"",U73&lt;&gt;"",V73&lt;&gt;"",W73&lt;&gt;"",X73&lt;&gt;"",W73&lt;&gt;X73,Y73&lt;&gt;""),"İNCELEMEYE_HAZIR","EKSİK"))</x:f>
        <x:v>BOŞ</x:v>
      </x:c>
    </x:row>
    <x:row r="74" ht="38" customHeight="1">
      <x:c r="A74" s="169" t="n">
        <x:v>69</x:v>
      </x:c>
      <x:c r="B74" s="170" t="str">
        <x:v>MI-019</x:v>
      </x:c>
      <x:c r="C74" s="170" t="str">
        <x:v>MI</x:v>
      </x:c>
      <x:c r="D74" s="170" t="str">
        <x:v>YENİ / ÖNERİLEN</x:v>
      </x:c>
      <x:c r="E74" s="170" t="str">
        <x:v>Piyasa Bütünlüğü ve Manipülasyona Dayanıklılık — MI</x:v>
      </x:c>
      <x:c r="F74" s="171" t="str">
        <x:v>Gözetim alert'leri yetkin kişi tarafından zamanında ele alınıyor ve kapanış gerekçesi kanıtlanıyor mu?</x:v>
      </x:c>
      <x:c r="G74" s="170" t="str">
        <x:v>REVIEW_REQUIRED</x:v>
      </x:c>
      <x:c r="H74" s="172"/>
      <x:c r="I74" s="173"/>
      <x:c r="J74" s="173"/>
      <x:c r="K74" s="173"/>
      <x:c r="L74" s="173"/>
      <x:c r="M74" s="173"/>
      <x:c r="N74" s="173"/>
      <x:c r="O74" s="173"/>
      <x:c r="P74" s="173"/>
      <x:c r="Q74" s="173"/>
      <x:c r="R74" s="173"/>
      <x:c r="S74" s="173"/>
      <x:c r="T74" s="173"/>
      <x:c r="U74" s="173"/>
      <x:c r="V74" s="173"/>
      <x:c r="W74" s="173"/>
      <x:c r="X74" s="173"/>
      <x:c r="Y74" s="173"/>
      <x:c r="Z74" s="174"/>
      <x:c r="AA74" s="175" t="str">
        <x:f>IF(H74="","BOŞ",IF(AND(H74="READY_FOR_REVIEW",I74&lt;&gt;"",J74&lt;&gt;"",LEN(K74)=64,L74&lt;&gt;"",M74&lt;&gt;"",N74&lt;&gt;"",O74&lt;&gt;"",P74&lt;&gt;"",Q74&lt;&gt;"",R74&lt;&gt;"",S74&lt;&gt;"",T74&lt;&gt;"",U74&lt;&gt;"",V74&lt;&gt;"",W74&lt;&gt;"",X74&lt;&gt;"",W74&lt;&gt;X74,Y74&lt;&gt;""),"İNCELEMEYE_HAZIR","EKSİK"))</x:f>
        <x:v>BOŞ</x:v>
      </x:c>
    </x:row>
    <x:row r="75" ht="38" customHeight="1">
      <x:c r="A75" s="169" t="n">
        <x:v>70</x:v>
      </x:c>
      <x:c r="B75" s="170" t="str">
        <x:v>MI-020</x:v>
      </x:c>
      <x:c r="C75" s="170" t="str">
        <x:v>MI</x:v>
      </x:c>
      <x:c r="D75" s="170" t="str">
        <x:v>YENİ / ÖNERİLEN</x:v>
      </x:c>
      <x:c r="E75" s="170" t="str">
        <x:v>Piyasa Bütünlüğü ve Manipülasyona Dayanıklılık — MI</x:v>
      </x:c>
      <x:c r="F75" s="171" t="str">
        <x:v>Manipülasyon kontrolü backtest, replay, shadow ve canlı loglarda aynı semantiği kullanıyor mu?</x:v>
      </x:c>
      <x:c r="G75" s="170" t="str">
        <x:v>REVIEW_REQUIRED</x:v>
      </x:c>
      <x:c r="H75" s="172"/>
      <x:c r="I75" s="173"/>
      <x:c r="J75" s="173"/>
      <x:c r="K75" s="173"/>
      <x:c r="L75" s="173"/>
      <x:c r="M75" s="173"/>
      <x:c r="N75" s="173"/>
      <x:c r="O75" s="173"/>
      <x:c r="P75" s="173"/>
      <x:c r="Q75" s="173"/>
      <x:c r="R75" s="173"/>
      <x:c r="S75" s="173"/>
      <x:c r="T75" s="173"/>
      <x:c r="U75" s="173"/>
      <x:c r="V75" s="173"/>
      <x:c r="W75" s="173"/>
      <x:c r="X75" s="173"/>
      <x:c r="Y75" s="173"/>
      <x:c r="Z75" s="174"/>
      <x:c r="AA75" s="175" t="str">
        <x:f>IF(H75="","BOŞ",IF(AND(H75="READY_FOR_REVIEW",I75&lt;&gt;"",J75&lt;&gt;"",LEN(K75)=64,L75&lt;&gt;"",M75&lt;&gt;"",N75&lt;&gt;"",O75&lt;&gt;"",P75&lt;&gt;"",Q75&lt;&gt;"",R75&lt;&gt;"",S75&lt;&gt;"",T75&lt;&gt;"",U75&lt;&gt;"",V75&lt;&gt;"",W75&lt;&gt;"",X75&lt;&gt;"",W75&lt;&gt;X75,Y75&lt;&gt;""),"İNCELEMEYE_HAZIR","EKSİK"))</x:f>
        <x:v>BOŞ</x:v>
      </x:c>
    </x:row>
    <x:row r="76" ht="38" customHeight="1">
      <x:c r="A76" s="169" t="n">
        <x:v>71</x:v>
      </x:c>
      <x:c r="B76" s="170" t="str">
        <x:v>MI-021</x:v>
      </x:c>
      <x:c r="C76" s="170" t="str">
        <x:v>MI</x:v>
      </x:c>
      <x:c r="D76" s="170" t="str">
        <x:v>YENİ / ÖNERİLEN</x:v>
      </x:c>
      <x:c r="E76" s="170" t="str">
        <x:v>Piyasa Bütünlüğü ve Manipülasyona Dayanıklılık — MI</x:v>
      </x:c>
      <x:c r="F76" s="171" t="str">
        <x:v>Sistem, rakip manipülasyonuna tepki verirken kendisi düzensiz piyasa koşuluna katkıda bulunuyor mu?</x:v>
      </x:c>
      <x:c r="G76" s="170" t="str">
        <x:v>REVIEW_REQUIRED</x:v>
      </x:c>
      <x:c r="H76" s="172"/>
      <x:c r="I76" s="173"/>
      <x:c r="J76" s="173"/>
      <x:c r="K76" s="173"/>
      <x:c r="L76" s="173"/>
      <x:c r="M76" s="173"/>
      <x:c r="N76" s="173"/>
      <x:c r="O76" s="173"/>
      <x:c r="P76" s="173"/>
      <x:c r="Q76" s="173"/>
      <x:c r="R76" s="173"/>
      <x:c r="S76" s="173"/>
      <x:c r="T76" s="173"/>
      <x:c r="U76" s="173"/>
      <x:c r="V76" s="173"/>
      <x:c r="W76" s="173"/>
      <x:c r="X76" s="173"/>
      <x:c r="Y76" s="173"/>
      <x:c r="Z76" s="174"/>
      <x:c r="AA76" s="175" t="str">
        <x:f>IF(H76="","BOŞ",IF(AND(H76="READY_FOR_REVIEW",I76&lt;&gt;"",J76&lt;&gt;"",LEN(K76)=64,L76&lt;&gt;"",M76&lt;&gt;"",N76&lt;&gt;"",O76&lt;&gt;"",P76&lt;&gt;"",Q76&lt;&gt;"",R76&lt;&gt;"",S76&lt;&gt;"",T76&lt;&gt;"",U76&lt;&gt;"",V76&lt;&gt;"",W76&lt;&gt;"",X76&lt;&gt;"",W76&lt;&gt;X76,Y76&lt;&gt;""),"İNCELEMEYE_HAZIR","EKSİK"))</x:f>
        <x:v>BOŞ</x:v>
      </x:c>
    </x:row>
    <x:row r="77" ht="38" customHeight="1">
      <x:c r="A77" s="169" t="n">
        <x:v>72</x:v>
      </x:c>
      <x:c r="B77" s="170" t="str">
        <x:v>MI-022</x:v>
      </x:c>
      <x:c r="C77" s="170" t="str">
        <x:v>MI</x:v>
      </x:c>
      <x:c r="D77" s="170" t="str">
        <x:v>YENİ / ÖNERİLEN</x:v>
      </x:c>
      <x:c r="E77" s="170" t="str">
        <x:v>Piyasa Bütünlüğü ve Manipülasyona Dayanıklılık — MI</x:v>
      </x:c>
      <x:c r="F77" s="171" t="str">
        <x:v>Piyasa bütünlüğü ihlali olasılığı strateji, hesap, venue ve global kapsamda ayrı izolasyon tetikleyebiliyor mu?</x:v>
      </x:c>
      <x:c r="G77" s="170" t="str">
        <x:v>REVIEW_REQUIRED</x:v>
      </x:c>
      <x:c r="H77" s="172"/>
      <x:c r="I77" s="173"/>
      <x:c r="J77" s="173"/>
      <x:c r="K77" s="173"/>
      <x:c r="L77" s="173"/>
      <x:c r="M77" s="173"/>
      <x:c r="N77" s="173"/>
      <x:c r="O77" s="173"/>
      <x:c r="P77" s="173"/>
      <x:c r="Q77" s="173"/>
      <x:c r="R77" s="173"/>
      <x:c r="S77" s="173"/>
      <x:c r="T77" s="173"/>
      <x:c r="U77" s="173"/>
      <x:c r="V77" s="173"/>
      <x:c r="W77" s="173"/>
      <x:c r="X77" s="173"/>
      <x:c r="Y77" s="173"/>
      <x:c r="Z77" s="174"/>
      <x:c r="AA77" s="175" t="str">
        <x:f>IF(H77="","BOŞ",IF(AND(H77="READY_FOR_REVIEW",I77&lt;&gt;"",J77&lt;&gt;"",LEN(K77)=64,L77&lt;&gt;"",M77&lt;&gt;"",N77&lt;&gt;"",O77&lt;&gt;"",P77&lt;&gt;"",Q77&lt;&gt;"",R77&lt;&gt;"",S77&lt;&gt;"",T77&lt;&gt;"",U77&lt;&gt;"",V77&lt;&gt;"",W77&lt;&gt;"",X77&lt;&gt;"",W77&lt;&gt;X77,Y77&lt;&gt;""),"İNCELEMEYE_HAZIR","EKSİK"))</x:f>
        <x:v>BOŞ</x:v>
      </x:c>
    </x:row>
    <x:row r="78" ht="38" customHeight="1">
      <x:c r="A78" s="169" t="n">
        <x:v>73</x:v>
      </x:c>
      <x:c r="B78" s="170" t="str">
        <x:v>MI-023</x:v>
      </x:c>
      <x:c r="C78" s="170" t="str">
        <x:v>MI</x:v>
      </x:c>
      <x:c r="D78" s="170" t="str">
        <x:v>YENİ / ÖNERİLEN</x:v>
      </x:c>
      <x:c r="E78" s="170" t="str">
        <x:v>Piyasa Bütünlüğü ve Manipülasyona Dayanıklılık — MI</x:v>
      </x:c>
      <x:c r="F78" s="171" t="str">
        <x:v>Tüm gözetim istisnaları süreli, sahipli ve otomatik sona eren şekilde yönetiliyor mu?</x:v>
      </x:c>
      <x:c r="G78" s="170" t="str">
        <x:v>REVIEW_REQUIRED</x:v>
      </x:c>
      <x:c r="H78" s="172"/>
      <x:c r="I78" s="173"/>
      <x:c r="J78" s="173"/>
      <x:c r="K78" s="173"/>
      <x:c r="L78" s="173"/>
      <x:c r="M78" s="173"/>
      <x:c r="N78" s="173"/>
      <x:c r="O78" s="173"/>
      <x:c r="P78" s="173"/>
      <x:c r="Q78" s="173"/>
      <x:c r="R78" s="173"/>
      <x:c r="S78" s="173"/>
      <x:c r="T78" s="173"/>
      <x:c r="U78" s="173"/>
      <x:c r="V78" s="173"/>
      <x:c r="W78" s="173"/>
      <x:c r="X78" s="173"/>
      <x:c r="Y78" s="173"/>
      <x:c r="Z78" s="174"/>
      <x:c r="AA78" s="175" t="str">
        <x:f>IF(H78="","BOŞ",IF(AND(H78="READY_FOR_REVIEW",I78&lt;&gt;"",J78&lt;&gt;"",LEN(K78)=64,L78&lt;&gt;"",M78&lt;&gt;"",N78&lt;&gt;"",O78&lt;&gt;"",P78&lt;&gt;"",Q78&lt;&gt;"",R78&lt;&gt;"",S78&lt;&gt;"",T78&lt;&gt;"",U78&lt;&gt;"",V78&lt;&gt;"",W78&lt;&gt;"",X78&lt;&gt;"",W78&lt;&gt;X78,Y78&lt;&gt;""),"İNCELEMEYE_HAZIR","EKSİK"))</x:f>
        <x:v>BOŞ</x:v>
      </x:c>
    </x:row>
    <x:row r="79" ht="38" customHeight="1">
      <x:c r="A79" s="169" t="n">
        <x:v>74</x:v>
      </x:c>
      <x:c r="B79" s="170" t="str">
        <x:v>MI-024</x:v>
      </x:c>
      <x:c r="C79" s="170" t="str">
        <x:v>MI</x:v>
      </x:c>
      <x:c r="D79" s="170" t="str">
        <x:v>YENİ / KOŞULLU</x:v>
      </x:c>
      <x:c r="E79" s="170" t="str">
        <x:v>Piyasa Bütünlüğü ve Manipülasyona Dayanıklılık — MI</x:v>
      </x:c>
      <x:c r="F79" s="171" t="str">
        <x:v>Regulatory inquiry veya venue talebi için order lifecycle ve karar gerekçesi eksiksiz yeniden üretilebiliyor mu?</x:v>
      </x:c>
      <x:c r="G79" s="170" t="str">
        <x:v>REVIEW_REQUIRED</x:v>
      </x:c>
      <x:c r="H79" s="172"/>
      <x:c r="I79" s="173"/>
      <x:c r="J79" s="173"/>
      <x:c r="K79" s="173"/>
      <x:c r="L79" s="173"/>
      <x:c r="M79" s="173"/>
      <x:c r="N79" s="173"/>
      <x:c r="O79" s="173"/>
      <x:c r="P79" s="173"/>
      <x:c r="Q79" s="173"/>
      <x:c r="R79" s="173"/>
      <x:c r="S79" s="173"/>
      <x:c r="T79" s="173"/>
      <x:c r="U79" s="173"/>
      <x:c r="V79" s="173"/>
      <x:c r="W79" s="173"/>
      <x:c r="X79" s="173"/>
      <x:c r="Y79" s="173"/>
      <x:c r="Z79" s="174"/>
      <x:c r="AA79" s="175" t="str">
        <x:f>IF(H79="","BOŞ",IF(AND(H79="READY_FOR_REVIEW",I79&lt;&gt;"",J79&lt;&gt;"",LEN(K79)=64,L79&lt;&gt;"",M79&lt;&gt;"",N79&lt;&gt;"",O79&lt;&gt;"",P79&lt;&gt;"",Q79&lt;&gt;"",R79&lt;&gt;"",S79&lt;&gt;"",T79&lt;&gt;"",U79&lt;&gt;"",V79&lt;&gt;"",W79&lt;&gt;"",X79&lt;&gt;"",W79&lt;&gt;X79,Y79&lt;&gt;""),"İNCELEMEYE_HAZIR","EKSİK"))</x:f>
        <x:v>BOŞ</x:v>
      </x:c>
    </x:row>
    <x:row r="80" ht="38" customHeight="1">
      <x:c r="A80" s="169" t="n">
        <x:v>75</x:v>
      </x:c>
      <x:c r="B80" s="170" t="str">
        <x:v>MI-025</x:v>
      </x:c>
      <x:c r="C80" s="170" t="str">
        <x:v>MI</x:v>
      </x:c>
      <x:c r="D80" s="170" t="str">
        <x:v>YENİ / KOŞULLU</x:v>
      </x:c>
      <x:c r="E80" s="170" t="str">
        <x:v>Piyasa Bütünlüğü ve Manipülasyona Dayanıklılık — MI</x:v>
      </x:c>
      <x:c r="F80" s="171" t="str">
        <x:v>Uygulanabilir piyasa suistimali kuralları MarketProfile ve yargı alanı değiştiğinde yeniden değerlendiriliyor mu?</x:v>
      </x:c>
      <x:c r="G80" s="170" t="str">
        <x:v>REVIEW_REQUIRED</x:v>
      </x:c>
      <x:c r="H80" s="172"/>
      <x:c r="I80" s="173"/>
      <x:c r="J80" s="173"/>
      <x:c r="K80" s="173"/>
      <x:c r="L80" s="173"/>
      <x:c r="M80" s="173"/>
      <x:c r="N80" s="173"/>
      <x:c r="O80" s="173"/>
      <x:c r="P80" s="173"/>
      <x:c r="Q80" s="173"/>
      <x:c r="R80" s="173"/>
      <x:c r="S80" s="173"/>
      <x:c r="T80" s="173"/>
      <x:c r="U80" s="173"/>
      <x:c r="V80" s="173"/>
      <x:c r="W80" s="173"/>
      <x:c r="X80" s="173"/>
      <x:c r="Y80" s="173"/>
      <x:c r="Z80" s="174"/>
      <x:c r="AA80" s="175" t="str">
        <x:f>IF(H80="","BOŞ",IF(AND(H80="READY_FOR_REVIEW",I80&lt;&gt;"",J80&lt;&gt;"",LEN(K80)=64,L80&lt;&gt;"",M80&lt;&gt;"",N80&lt;&gt;"",O80&lt;&gt;"",P80&lt;&gt;"",Q80&lt;&gt;"",R80&lt;&gt;"",S80&lt;&gt;"",T80&lt;&gt;"",U80&lt;&gt;"",V80&lt;&gt;"",W80&lt;&gt;"",X80&lt;&gt;"",W80&lt;&gt;X80,Y80&lt;&gt;""),"İNCELEMEYE_HAZIR","EKSİK"))</x:f>
        <x:v>BOŞ</x:v>
      </x:c>
    </x:row>
    <x:row r="81" ht="38" customHeight="1">
      <x:c r="A81" s="169" t="n">
        <x:v>76</x:v>
      </x:c>
      <x:c r="B81" s="170" t="str">
        <x:v>VC-001</x:v>
      </x:c>
      <x:c r="C81" s="170" t="str">
        <x:v>VC</x:v>
      </x:c>
      <x:c r="D81" s="170" t="str">
        <x:v>YENİ / ÖNERİLEN</x:v>
      </x:c>
      <x:c r="E81" s="170" t="str">
        <x:v>Venue, Broker, Counterparty ve Saklama — VC</x:v>
      </x:c>
      <x:c r="F81" s="171" t="str">
        <x:v>Broker, venue, clearing üyesi, custodian ve settlement bankası bağımlılıkları ayrı counterparty olarak kayıtlı mı?</x:v>
      </x:c>
      <x:c r="G81" s="170" t="str">
        <x:v>REVIEW_REQUIRED</x:v>
      </x:c>
      <x:c r="H81" s="172"/>
      <x:c r="I81" s="173"/>
      <x:c r="J81" s="173"/>
      <x:c r="K81" s="173"/>
      <x:c r="L81" s="173"/>
      <x:c r="M81" s="173"/>
      <x:c r="N81" s="173"/>
      <x:c r="O81" s="173"/>
      <x:c r="P81" s="173"/>
      <x:c r="Q81" s="173"/>
      <x:c r="R81" s="173"/>
      <x:c r="S81" s="173"/>
      <x:c r="T81" s="173"/>
      <x:c r="U81" s="173"/>
      <x:c r="V81" s="173"/>
      <x:c r="W81" s="173"/>
      <x:c r="X81" s="173"/>
      <x:c r="Y81" s="173"/>
      <x:c r="Z81" s="174"/>
      <x:c r="AA81" s="175" t="str">
        <x:f>IF(H81="","BOŞ",IF(AND(H81="READY_FOR_REVIEW",I81&lt;&gt;"",J81&lt;&gt;"",LEN(K81)=64,L81&lt;&gt;"",M81&lt;&gt;"",N81&lt;&gt;"",O81&lt;&gt;"",P81&lt;&gt;"",Q81&lt;&gt;"",R81&lt;&gt;"",S81&lt;&gt;"",T81&lt;&gt;"",U81&lt;&gt;"",V81&lt;&gt;"",W81&lt;&gt;"",X81&lt;&gt;"",W81&lt;&gt;X81,Y81&lt;&gt;""),"İNCELEMEYE_HAZIR","EKSİK"))</x:f>
        <x:v>BOŞ</x:v>
      </x:c>
    </x:row>
    <x:row r="82" ht="38" customHeight="1">
      <x:c r="A82" s="169" t="n">
        <x:v>77</x:v>
      </x:c>
      <x:c r="B82" s="170" t="str">
        <x:v>VC-002</x:v>
      </x:c>
      <x:c r="C82" s="170" t="str">
        <x:v>VC</x:v>
      </x:c>
      <x:c r="D82" s="170" t="str">
        <x:v>YENİ / ÖNERİLEN</x:v>
      </x:c>
      <x:c r="E82" s="170" t="str">
        <x:v>Venue, Broker, Counterparty ve Saklama — VC</x:v>
      </x:c>
      <x:c r="F82" s="171" t="str">
        <x:v>Counterparty exposure nakit, teminat, açık pozisyon, açık emir ve bekleyen settlement dahil ölçülüyor mu?</x:v>
      </x:c>
      <x:c r="G82" s="170" t="str">
        <x:v>REVIEW_REQUIRED</x:v>
      </x:c>
      <x:c r="H82" s="172"/>
      <x:c r="I82" s="173"/>
      <x:c r="J82" s="173"/>
      <x:c r="K82" s="173"/>
      <x:c r="L82" s="173"/>
      <x:c r="M82" s="173"/>
      <x:c r="N82" s="173"/>
      <x:c r="O82" s="173"/>
      <x:c r="P82" s="173"/>
      <x:c r="Q82" s="173"/>
      <x:c r="R82" s="173"/>
      <x:c r="S82" s="173"/>
      <x:c r="T82" s="173"/>
      <x:c r="U82" s="173"/>
      <x:c r="V82" s="173"/>
      <x:c r="W82" s="173"/>
      <x:c r="X82" s="173"/>
      <x:c r="Y82" s="173"/>
      <x:c r="Z82" s="174"/>
      <x:c r="AA82" s="175" t="str">
        <x:f>IF(H82="","BOŞ",IF(AND(H82="READY_FOR_REVIEW",I82&lt;&gt;"",J82&lt;&gt;"",LEN(K82)=64,L82&lt;&gt;"",M82&lt;&gt;"",N82&lt;&gt;"",O82&lt;&gt;"",P82&lt;&gt;"",Q82&lt;&gt;"",R82&lt;&gt;"",S82&lt;&gt;"",T82&lt;&gt;"",U82&lt;&gt;"",V82&lt;&gt;"",W82&lt;&gt;"",X82&lt;&gt;"",W82&lt;&gt;X82,Y82&lt;&gt;""),"İNCELEMEYE_HAZIR","EKSİK"))</x:f>
        <x:v>BOŞ</x:v>
      </x:c>
    </x:row>
    <x:row r="83" ht="38" customHeight="1">
      <x:c r="A83" s="169" t="n">
        <x:v>78</x:v>
      </x:c>
      <x:c r="B83" s="170" t="str">
        <x:v>VC-003</x:v>
      </x:c>
      <x:c r="C83" s="170" t="str">
        <x:v>VC</x:v>
      </x:c>
      <x:c r="D83" s="170" t="str">
        <x:v>YENİ / ÖNERİLEN</x:v>
      </x:c>
      <x:c r="E83" s="170" t="str">
        <x:v>Venue, Broker, Counterparty ve Saklama — VC</x:v>
      </x:c>
      <x:c r="F83" s="171" t="str">
        <x:v>Tek broker/venue/custodian yoğunluğu ve correlated failure riski politika ile sınırlandırılabilir mi?</x:v>
      </x:c>
      <x:c r="G83" s="170" t="str">
        <x:v>REVIEW_REQUIRED</x:v>
      </x:c>
      <x:c r="H83" s="172"/>
      <x:c r="I83" s="173"/>
      <x:c r="J83" s="173"/>
      <x:c r="K83" s="173"/>
      <x:c r="L83" s="173"/>
      <x:c r="M83" s="173"/>
      <x:c r="N83" s="173"/>
      <x:c r="O83" s="173"/>
      <x:c r="P83" s="173"/>
      <x:c r="Q83" s="173"/>
      <x:c r="R83" s="173"/>
      <x:c r="S83" s="173"/>
      <x:c r="T83" s="173"/>
      <x:c r="U83" s="173"/>
      <x:c r="V83" s="173"/>
      <x:c r="W83" s="173"/>
      <x:c r="X83" s="173"/>
      <x:c r="Y83" s="173"/>
      <x:c r="Z83" s="174"/>
      <x:c r="AA83" s="175" t="str">
        <x:f>IF(H83="","BOŞ",IF(AND(H83="READY_FOR_REVIEW",I83&lt;&gt;"",J83&lt;&gt;"",LEN(K83)=64,L83&lt;&gt;"",M83&lt;&gt;"",N83&lt;&gt;"",O83&lt;&gt;"",P83&lt;&gt;"",Q83&lt;&gt;"",R83&lt;&gt;"",S83&lt;&gt;"",T83&lt;&gt;"",U83&lt;&gt;"",V83&lt;&gt;"",W83&lt;&gt;"",X83&lt;&gt;"",W83&lt;&gt;X83,Y83&lt;&gt;""),"İNCELEMEYE_HAZIR","EKSİK"))</x:f>
        <x:v>BOŞ</x:v>
      </x:c>
    </x:row>
    <x:row r="84" ht="38" customHeight="1">
      <x:c r="A84" s="169" t="n">
        <x:v>79</x:v>
      </x:c>
      <x:c r="B84" s="170" t="str">
        <x:v>VC-004</x:v>
      </x:c>
      <x:c r="C84" s="170" t="str">
        <x:v>VC</x:v>
      </x:c>
      <x:c r="D84" s="170" t="str">
        <x:v>YENİ / ÖNERİLEN</x:v>
      </x:c>
      <x:c r="E84" s="170" t="str">
        <x:v>Venue, Broker, Counterparty ve Saklama — VC</x:v>
      </x:c>
      <x:c r="F84" s="171" t="str">
        <x:v>Broker API alanları ile ekonomik pozisyon, cash, margin ve order state semantiği birebir doğrulanmış mı?</x:v>
      </x:c>
      <x:c r="G84" s="170" t="str">
        <x:v>REVIEW_REQUIRED</x:v>
      </x:c>
      <x:c r="H84" s="172"/>
      <x:c r="I84" s="173"/>
      <x:c r="J84" s="173"/>
      <x:c r="K84" s="173"/>
      <x:c r="L84" s="173"/>
      <x:c r="M84" s="173"/>
      <x:c r="N84" s="173"/>
      <x:c r="O84" s="173"/>
      <x:c r="P84" s="173"/>
      <x:c r="Q84" s="173"/>
      <x:c r="R84" s="173"/>
      <x:c r="S84" s="173"/>
      <x:c r="T84" s="173"/>
      <x:c r="U84" s="173"/>
      <x:c r="V84" s="173"/>
      <x:c r="W84" s="173"/>
      <x:c r="X84" s="173"/>
      <x:c r="Y84" s="173"/>
      <x:c r="Z84" s="174"/>
      <x:c r="AA84" s="175" t="str">
        <x:f>IF(H84="","BOŞ",IF(AND(H84="READY_FOR_REVIEW",I84&lt;&gt;"",J84&lt;&gt;"",LEN(K84)=64,L84&lt;&gt;"",M84&lt;&gt;"",N84&lt;&gt;"",O84&lt;&gt;"",P84&lt;&gt;"",Q84&lt;&gt;"",R84&lt;&gt;"",S84&lt;&gt;"",T84&lt;&gt;"",U84&lt;&gt;"",V84&lt;&gt;"",W84&lt;&gt;"",X84&lt;&gt;"",W84&lt;&gt;X84,Y84&lt;&gt;""),"İNCELEMEYE_HAZIR","EKSİK"))</x:f>
        <x:v>BOŞ</x:v>
      </x:c>
    </x:row>
    <x:row r="85" ht="38" customHeight="1">
      <x:c r="A85" s="169" t="n">
        <x:v>80</x:v>
      </x:c>
      <x:c r="B85" s="170" t="str">
        <x:v>VC-005</x:v>
      </x:c>
      <x:c r="C85" s="170" t="str">
        <x:v>VC</x:v>
      </x:c>
      <x:c r="D85" s="170" t="str">
        <x:v>YENİ / ÖNERİLEN</x:v>
      </x:c>
      <x:c r="E85" s="170" t="str">
        <x:v>Venue, Broker, Counterparty ve Saklama — VC</x:v>
      </x:c>
      <x:c r="F85" s="171" t="str">
        <x:v>Broker/venue kural, API, fee, margin veya liquidation değişikliği otomatik recertification review açıyor mu?</x:v>
      </x:c>
      <x:c r="G85" s="170" t="str">
        <x:v>REVIEW_REQUIRED</x:v>
      </x:c>
      <x:c r="H85" s="172"/>
      <x:c r="I85" s="173"/>
      <x:c r="J85" s="173"/>
      <x:c r="K85" s="173"/>
      <x:c r="L85" s="173"/>
      <x:c r="M85" s="173"/>
      <x:c r="N85" s="173"/>
      <x:c r="O85" s="173"/>
      <x:c r="P85" s="173"/>
      <x:c r="Q85" s="173"/>
      <x:c r="R85" s="173"/>
      <x:c r="S85" s="173"/>
      <x:c r="T85" s="173"/>
      <x:c r="U85" s="173"/>
      <x:c r="V85" s="173"/>
      <x:c r="W85" s="173"/>
      <x:c r="X85" s="173"/>
      <x:c r="Y85" s="173"/>
      <x:c r="Z85" s="174"/>
      <x:c r="AA85" s="175" t="str">
        <x:f>IF(H85="","BOŞ",IF(AND(H85="READY_FOR_REVIEW",I85&lt;&gt;"",J85&lt;&gt;"",LEN(K85)=64,L85&lt;&gt;"",M85&lt;&gt;"",N85&lt;&gt;"",O85&lt;&gt;"",P85&lt;&gt;"",Q85&lt;&gt;"",R85&lt;&gt;"",S85&lt;&gt;"",T85&lt;&gt;"",U85&lt;&gt;"",V85&lt;&gt;"",W85&lt;&gt;"",X85&lt;&gt;"",W85&lt;&gt;X85,Y85&lt;&gt;""),"İNCELEMEYE_HAZIR","EKSİK"))</x:f>
        <x:v>BOŞ</x:v>
      </x:c>
    </x:row>
    <x:row r="86" ht="38" customHeight="1">
      <x:c r="A86" s="169" t="n">
        <x:v>81</x:v>
      </x:c>
      <x:c r="B86" s="170" t="str">
        <x:v>VC-006</x:v>
      </x:c>
      <x:c r="C86" s="170" t="str">
        <x:v>VC</x:v>
      </x:c>
      <x:c r="D86" s="170" t="str">
        <x:v>YENİ / ÖNERİLEN</x:v>
      </x:c>
      <x:c r="E86" s="170" t="str">
        <x:v>Venue, Broker, Counterparty ve Saklama — VC</x:v>
      </x:c>
      <x:c r="F86" s="171" t="str">
        <x:v>Intraday margin değişikliği ve house-margin artışı risk/capital yetkisini anında yeniden hesaplatıyor mu?</x:v>
      </x:c>
      <x:c r="G86" s="170" t="str">
        <x:v>REVIEW_REQUIRED</x:v>
      </x:c>
      <x:c r="H86" s="172"/>
      <x:c r="I86" s="173"/>
      <x:c r="J86" s="173"/>
      <x:c r="K86" s="173"/>
      <x:c r="L86" s="173"/>
      <x:c r="M86" s="173"/>
      <x:c r="N86" s="173"/>
      <x:c r="O86" s="173"/>
      <x:c r="P86" s="173"/>
      <x:c r="Q86" s="173"/>
      <x:c r="R86" s="173"/>
      <x:c r="S86" s="173"/>
      <x:c r="T86" s="173"/>
      <x:c r="U86" s="173"/>
      <x:c r="V86" s="173"/>
      <x:c r="W86" s="173"/>
      <x:c r="X86" s="173"/>
      <x:c r="Y86" s="173"/>
      <x:c r="Z86" s="174"/>
      <x:c r="AA86" s="175" t="str">
        <x:f>IF(H86="","BOŞ",IF(AND(H86="READY_FOR_REVIEW",I86&lt;&gt;"",J86&lt;&gt;"",LEN(K86)=64,L86&lt;&gt;"",M86&lt;&gt;"",N86&lt;&gt;"",O86&lt;&gt;"",P86&lt;&gt;"",Q86&lt;&gt;"",R86&lt;&gt;"",S86&lt;&gt;"",T86&lt;&gt;"",U86&lt;&gt;"",V86&lt;&gt;"",W86&lt;&gt;"",X86&lt;&gt;"",W86&lt;&gt;X86,Y86&lt;&gt;""),"İNCELEMEYE_HAZIR","EKSİK"))</x:f>
        <x:v>BOŞ</x:v>
      </x:c>
    </x:row>
    <x:row r="87" ht="38" customHeight="1">
      <x:c r="A87" s="169" t="n">
        <x:v>82</x:v>
      </x:c>
      <x:c r="B87" s="170" t="str">
        <x:v>VC-007</x:v>
      </x:c>
      <x:c r="C87" s="170" t="str">
        <x:v>VC</x:v>
      </x:c>
      <x:c r="D87" s="170" t="str">
        <x:v>YENİ / ÖNERİLEN</x:v>
      </x:c>
      <x:c r="E87" s="170" t="str">
        <x:v>Venue, Broker, Counterparty ve Saklama — VC</x:v>
      </x:c>
      <x:c r="F87" s="171" t="str">
        <x:v>Counterparty temerrüdü veya işlem kısıtı altında pozisyon kapatma, hedge ve transfer seçenekleri önceden modellenmiş mi?</x:v>
      </x:c>
      <x:c r="G87" s="170" t="str">
        <x:v>REVIEW_REQUIRED</x:v>
      </x:c>
      <x:c r="H87" s="172"/>
      <x:c r="I87" s="173"/>
      <x:c r="J87" s="173"/>
      <x:c r="K87" s="173"/>
      <x:c r="L87" s="173"/>
      <x:c r="M87" s="173"/>
      <x:c r="N87" s="173"/>
      <x:c r="O87" s="173"/>
      <x:c r="P87" s="173"/>
      <x:c r="Q87" s="173"/>
      <x:c r="R87" s="173"/>
      <x:c r="S87" s="173"/>
      <x:c r="T87" s="173"/>
      <x:c r="U87" s="173"/>
      <x:c r="V87" s="173"/>
      <x:c r="W87" s="173"/>
      <x:c r="X87" s="173"/>
      <x:c r="Y87" s="173"/>
      <x:c r="Z87" s="174"/>
      <x:c r="AA87" s="175" t="str">
        <x:f>IF(H87="","BOŞ",IF(AND(H87="READY_FOR_REVIEW",I87&lt;&gt;"",J87&lt;&gt;"",LEN(K87)=64,L87&lt;&gt;"",M87&lt;&gt;"",N87&lt;&gt;"",O87&lt;&gt;"",P87&lt;&gt;"",Q87&lt;&gt;"",R87&lt;&gt;"",S87&lt;&gt;"",T87&lt;&gt;"",U87&lt;&gt;"",V87&lt;&gt;"",W87&lt;&gt;"",X87&lt;&gt;"",W87&lt;&gt;X87,Y87&lt;&gt;""),"İNCELEMEYE_HAZIR","EKSİK"))</x:f>
        <x:v>BOŞ</x:v>
      </x:c>
    </x:row>
    <x:row r="88" ht="38" customHeight="1">
      <x:c r="A88" s="169" t="n">
        <x:v>83</x:v>
      </x:c>
      <x:c r="B88" s="170" t="str">
        <x:v>VC-008</x:v>
      </x:c>
      <x:c r="C88" s="170" t="str">
        <x:v>VC</x:v>
      </x:c>
      <x:c r="D88" s="170" t="str">
        <x:v>YENİ / KOŞULLU</x:v>
      </x:c>
      <x:c r="E88" s="170" t="str">
        <x:v>Venue, Broker, Counterparty ve Saklama — VC</x:v>
      </x:c>
      <x:c r="F88" s="171" t="str">
        <x:v>Müşteri varlıklarının segregation durumu kanıta dayalı mı; yalnızca broker beyanına güvenilmiyor mu?</x:v>
      </x:c>
      <x:c r="G88" s="170" t="str">
        <x:v>REVIEW_REQUIRED</x:v>
      </x:c>
      <x:c r="H88" s="172"/>
      <x:c r="I88" s="173"/>
      <x:c r="J88" s="173"/>
      <x:c r="K88" s="173"/>
      <x:c r="L88" s="173"/>
      <x:c r="M88" s="173"/>
      <x:c r="N88" s="173"/>
      <x:c r="O88" s="173"/>
      <x:c r="P88" s="173"/>
      <x:c r="Q88" s="173"/>
      <x:c r="R88" s="173"/>
      <x:c r="S88" s="173"/>
      <x:c r="T88" s="173"/>
      <x:c r="U88" s="173"/>
      <x:c r="V88" s="173"/>
      <x:c r="W88" s="173"/>
      <x:c r="X88" s="173"/>
      <x:c r="Y88" s="173"/>
      <x:c r="Z88" s="174"/>
      <x:c r="AA88" s="175" t="str">
        <x:f>IF(H88="","BOŞ",IF(AND(H88="READY_FOR_REVIEW",I88&lt;&gt;"",J88&lt;&gt;"",LEN(K88)=64,L88&lt;&gt;"",M88&lt;&gt;"",N88&lt;&gt;"",O88&lt;&gt;"",P88&lt;&gt;"",Q88&lt;&gt;"",R88&lt;&gt;"",S88&lt;&gt;"",T88&lt;&gt;"",U88&lt;&gt;"",V88&lt;&gt;"",W88&lt;&gt;"",X88&lt;&gt;"",W88&lt;&gt;X88,Y88&lt;&gt;""),"İNCELEMEYE_HAZIR","EKSİK"))</x:f>
        <x:v>BOŞ</x:v>
      </x:c>
    </x:row>
    <x:row r="89" ht="38" customHeight="1">
      <x:c r="A89" s="169" t="n">
        <x:v>84</x:v>
      </x:c>
      <x:c r="B89" s="170" t="str">
        <x:v>VC-009</x:v>
      </x:c>
      <x:c r="C89" s="170" t="str">
        <x:v>VC</x:v>
      </x:c>
      <x:c r="D89" s="170" t="str">
        <x:v>YENİ / KOŞULLU</x:v>
      </x:c>
      <x:c r="E89" s="170" t="str">
        <x:v>Venue, Broker, Counterparty ve Saklama — VC</x:v>
      </x:c>
      <x:c r="F89" s="171" t="str">
        <x:v>Custody anahtar, yetki, withdrawal ve recovery süreci least-privilege ve çoklu kontrol altında mı?</x:v>
      </x:c>
      <x:c r="G89" s="170" t="str">
        <x:v>REVIEW_REQUIRED</x:v>
      </x:c>
      <x:c r="H89" s="172"/>
      <x:c r="I89" s="173"/>
      <x:c r="J89" s="173"/>
      <x:c r="K89" s="173"/>
      <x:c r="L89" s="173"/>
      <x:c r="M89" s="173"/>
      <x:c r="N89" s="173"/>
      <x:c r="O89" s="173"/>
      <x:c r="P89" s="173"/>
      <x:c r="Q89" s="173"/>
      <x:c r="R89" s="173"/>
      <x:c r="S89" s="173"/>
      <x:c r="T89" s="173"/>
      <x:c r="U89" s="173"/>
      <x:c r="V89" s="173"/>
      <x:c r="W89" s="173"/>
      <x:c r="X89" s="173"/>
      <x:c r="Y89" s="173"/>
      <x:c r="Z89" s="174"/>
      <x:c r="AA89" s="175" t="str">
        <x:f>IF(H89="","BOŞ",IF(AND(H89="READY_FOR_REVIEW",I89&lt;&gt;"",J89&lt;&gt;"",LEN(K89)=64,L89&lt;&gt;"",M89&lt;&gt;"",N89&lt;&gt;"",O89&lt;&gt;"",P89&lt;&gt;"",Q89&lt;&gt;"",R89&lt;&gt;"",S89&lt;&gt;"",T89&lt;&gt;"",U89&lt;&gt;"",V89&lt;&gt;"",W89&lt;&gt;"",X89&lt;&gt;"",W89&lt;&gt;X89,Y89&lt;&gt;""),"İNCELEMEYE_HAZIR","EKSİK"))</x:f>
        <x:v>BOŞ</x:v>
      </x:c>
    </x:row>
    <x:row r="90" ht="38" customHeight="1">
      <x:c r="A90" s="169" t="n">
        <x:v>85</x:v>
      </x:c>
      <x:c r="B90" s="170" t="str">
        <x:v>VC-010</x:v>
      </x:c>
      <x:c r="C90" s="170" t="str">
        <x:v>VC</x:v>
      </x:c>
      <x:c r="D90" s="170" t="str">
        <x:v>YENİ / ÖNERİLEN</x:v>
      </x:c>
      <x:c r="E90" s="170" t="str">
        <x:v>Venue, Broker, Counterparty ve Saklama — VC</x:v>
      </x:c>
      <x:c r="F90" s="171" t="str">
        <x:v>Deposit/withdrawal/settlement gecikmesi likidite ve yeniden dengeleme riskine dahil mi?</x:v>
      </x:c>
      <x:c r="G90" s="170" t="str">
        <x:v>REVIEW_REQUIRED</x:v>
      </x:c>
      <x:c r="H90" s="172"/>
      <x:c r="I90" s="173"/>
      <x:c r="J90" s="173"/>
      <x:c r="K90" s="173"/>
      <x:c r="L90" s="173"/>
      <x:c r="M90" s="173"/>
      <x:c r="N90" s="173"/>
      <x:c r="O90" s="173"/>
      <x:c r="P90" s="173"/>
      <x:c r="Q90" s="173"/>
      <x:c r="R90" s="173"/>
      <x:c r="S90" s="173"/>
      <x:c r="T90" s="173"/>
      <x:c r="U90" s="173"/>
      <x:c r="V90" s="173"/>
      <x:c r="W90" s="173"/>
      <x:c r="X90" s="173"/>
      <x:c r="Y90" s="173"/>
      <x:c r="Z90" s="174"/>
      <x:c r="AA90" s="175" t="str">
        <x:f>IF(H90="","BOŞ",IF(AND(H90="READY_FOR_REVIEW",I90&lt;&gt;"",J90&lt;&gt;"",LEN(K90)=64,L90&lt;&gt;"",M90&lt;&gt;"",N90&lt;&gt;"",O90&lt;&gt;"",P90&lt;&gt;"",Q90&lt;&gt;"",R90&lt;&gt;"",S90&lt;&gt;"",T90&lt;&gt;"",U90&lt;&gt;"",V90&lt;&gt;"",W90&lt;&gt;"",X90&lt;&gt;"",W90&lt;&gt;X90,Y90&lt;&gt;""),"İNCELEMEYE_HAZIR","EKSİK"))</x:f>
        <x:v>BOŞ</x:v>
      </x:c>
    </x:row>
    <x:row r="91" ht="38" customHeight="1">
      <x:c r="A91" s="169" t="n">
        <x:v>86</x:v>
      </x:c>
      <x:c r="B91" s="170" t="str">
        <x:v>VC-011</x:v>
      </x:c>
      <x:c r="C91" s="170" t="str">
        <x:v>VC</x:v>
      </x:c>
      <x:c r="D91" s="170" t="str">
        <x:v>YENİ / ÖNERİLEN</x:v>
      </x:c>
      <x:c r="E91" s="170" t="str">
        <x:v>Venue, Broker, Counterparty ve Saklama — VC</x:v>
      </x:c>
      <x:c r="F91" s="171" t="str">
        <x:v>Failover broker'a geçiş duplicate order veya iki tarafta açık risk yaratmadan çalışıyor mu?</x:v>
      </x:c>
      <x:c r="G91" s="170" t="str">
        <x:v>REVIEW_REQUIRED</x:v>
      </x:c>
      <x:c r="H91" s="172"/>
      <x:c r="I91" s="173"/>
      <x:c r="J91" s="173"/>
      <x:c r="K91" s="173"/>
      <x:c r="L91" s="173"/>
      <x:c r="M91" s="173"/>
      <x:c r="N91" s="173"/>
      <x:c r="O91" s="173"/>
      <x:c r="P91" s="173"/>
      <x:c r="Q91" s="173"/>
      <x:c r="R91" s="173"/>
      <x:c r="S91" s="173"/>
      <x:c r="T91" s="173"/>
      <x:c r="U91" s="173"/>
      <x:c r="V91" s="173"/>
      <x:c r="W91" s="173"/>
      <x:c r="X91" s="173"/>
      <x:c r="Y91" s="173"/>
      <x:c r="Z91" s="174"/>
      <x:c r="AA91" s="175" t="str">
        <x:f>IF(H91="","BOŞ",IF(AND(H91="READY_FOR_REVIEW",I91&lt;&gt;"",J91&lt;&gt;"",LEN(K91)=64,L91&lt;&gt;"",M91&lt;&gt;"",N91&lt;&gt;"",O91&lt;&gt;"",P91&lt;&gt;"",Q91&lt;&gt;"",R91&lt;&gt;"",S91&lt;&gt;"",T91&lt;&gt;"",U91&lt;&gt;"",V91&lt;&gt;"",W91&lt;&gt;"",X91&lt;&gt;"",W91&lt;&gt;X91,Y91&lt;&gt;""),"İNCELEMEYE_HAZIR","EKSİK"))</x:f>
        <x:v>BOŞ</x:v>
      </x:c>
    </x:row>
    <x:row r="92" ht="38" customHeight="1">
      <x:c r="A92" s="169" t="n">
        <x:v>87</x:v>
      </x:c>
      <x:c r="B92" s="170" t="str">
        <x:v>VC-012</x:v>
      </x:c>
      <x:c r="C92" s="170" t="str">
        <x:v>VC</x:v>
      </x:c>
      <x:c r="D92" s="170" t="str">
        <x:v>YENİ / ÖNERİLEN</x:v>
      </x:c>
      <x:c r="E92" s="170" t="str">
        <x:v>Venue, Broker, Counterparty ve Saklama — VC</x:v>
      </x:c>
      <x:c r="F92" s="171" t="str">
        <x:v>Primary broker erişilemezken external truth kaynağıyla position/open-order reconciliation yapılabiliyor mu?</x:v>
      </x:c>
      <x:c r="G92" s="170" t="str">
        <x:v>REVIEW_REQUIRED</x:v>
      </x:c>
      <x:c r="H92" s="172"/>
      <x:c r="I92" s="173"/>
      <x:c r="J92" s="173"/>
      <x:c r="K92" s="173"/>
      <x:c r="L92" s="173"/>
      <x:c r="M92" s="173"/>
      <x:c r="N92" s="173"/>
      <x:c r="O92" s="173"/>
      <x:c r="P92" s="173"/>
      <x:c r="Q92" s="173"/>
      <x:c r="R92" s="173"/>
      <x:c r="S92" s="173"/>
      <x:c r="T92" s="173"/>
      <x:c r="U92" s="173"/>
      <x:c r="V92" s="173"/>
      <x:c r="W92" s="173"/>
      <x:c r="X92" s="173"/>
      <x:c r="Y92" s="173"/>
      <x:c r="Z92" s="174"/>
      <x:c r="AA92" s="175" t="str">
        <x:f>IF(H92="","BOŞ",IF(AND(H92="READY_FOR_REVIEW",I92&lt;&gt;"",J92&lt;&gt;"",LEN(K92)=64,L92&lt;&gt;"",M92&lt;&gt;"",N92&lt;&gt;"",O92&lt;&gt;"",P92&lt;&gt;"",Q92&lt;&gt;"",R92&lt;&gt;"",S92&lt;&gt;"",T92&lt;&gt;"",U92&lt;&gt;"",V92&lt;&gt;"",W92&lt;&gt;"",X92&lt;&gt;"",W92&lt;&gt;X92,Y92&lt;&gt;""),"İNCELEMEYE_HAZIR","EKSİK"))</x:f>
        <x:v>BOŞ</x:v>
      </x:c>
    </x:row>
    <x:row r="93" ht="38" customHeight="1">
      <x:c r="A93" s="169" t="n">
        <x:v>88</x:v>
      </x:c>
      <x:c r="B93" s="170" t="str">
        <x:v>VC-013</x:v>
      </x:c>
      <x:c r="C93" s="170" t="str">
        <x:v>VC</x:v>
      </x:c>
      <x:c r="D93" s="170" t="str">
        <x:v>YENİ / ÖNERİLEN</x:v>
      </x:c>
      <x:c r="E93" s="170" t="str">
        <x:v>Venue, Broker, Counterparty ve Saklama — VC</x:v>
      </x:c>
      <x:c r="F93" s="171" t="str">
        <x:v>Close-only, reduce-only, cancel-only ve maintenance modları ayrı yetki durumları olarak modelleniyor mu?</x:v>
      </x:c>
      <x:c r="G93" s="170" t="str">
        <x:v>REVIEW_REQUIRED</x:v>
      </x:c>
      <x:c r="H93" s="172"/>
      <x:c r="I93" s="173"/>
      <x:c r="J93" s="173"/>
      <x:c r="K93" s="173"/>
      <x:c r="L93" s="173"/>
      <x:c r="M93" s="173"/>
      <x:c r="N93" s="173"/>
      <x:c r="O93" s="173"/>
      <x:c r="P93" s="173"/>
      <x:c r="Q93" s="173"/>
      <x:c r="R93" s="173"/>
      <x:c r="S93" s="173"/>
      <x:c r="T93" s="173"/>
      <x:c r="U93" s="173"/>
      <x:c r="V93" s="173"/>
      <x:c r="W93" s="173"/>
      <x:c r="X93" s="173"/>
      <x:c r="Y93" s="173"/>
      <x:c r="Z93" s="174"/>
      <x:c r="AA93" s="175" t="str">
        <x:f>IF(H93="","BOŞ",IF(AND(H93="READY_FOR_REVIEW",I93&lt;&gt;"",J93&lt;&gt;"",LEN(K93)=64,L93&lt;&gt;"",M93&lt;&gt;"",N93&lt;&gt;"",O93&lt;&gt;"",P93&lt;&gt;"",Q93&lt;&gt;"",R93&lt;&gt;"",S93&lt;&gt;"",T93&lt;&gt;"",U93&lt;&gt;"",V93&lt;&gt;"",W93&lt;&gt;"",X93&lt;&gt;"",W93&lt;&gt;X93,Y93&lt;&gt;""),"İNCELEMEYE_HAZIR","EKSİK"))</x:f>
        <x:v>BOŞ</x:v>
      </x:c>
    </x:row>
    <x:row r="94" ht="38" customHeight="1">
      <x:c r="A94" s="169" t="n">
        <x:v>89</x:v>
      </x:c>
      <x:c r="B94" s="170" t="str">
        <x:v>VC-014</x:v>
      </x:c>
      <x:c r="C94" s="170" t="str">
        <x:v>VC</x:v>
      </x:c>
      <x:c r="D94" s="170" t="str">
        <x:v>YENİ / ÖNERİLEN</x:v>
      </x:c>
      <x:c r="E94" s="170" t="str">
        <x:v>Venue, Broker, Counterparty ve Saklama — VC</x:v>
      </x:c>
      <x:c r="F94" s="171" t="str">
        <x:v>Venue fiyatının referans piyasalardan sapması veri hatası, lokal likidite ve solvency riski açısından ayrıştırılıyor mu?</x:v>
      </x:c>
      <x:c r="G94" s="170" t="str">
        <x:v>REVIEW_REQUIRED</x:v>
      </x:c>
      <x:c r="H94" s="172"/>
      <x:c r="I94" s="173"/>
      <x:c r="J94" s="173"/>
      <x:c r="K94" s="173"/>
      <x:c r="L94" s="173"/>
      <x:c r="M94" s="173"/>
      <x:c r="N94" s="173"/>
      <x:c r="O94" s="173"/>
      <x:c r="P94" s="173"/>
      <x:c r="Q94" s="173"/>
      <x:c r="R94" s="173"/>
      <x:c r="S94" s="173"/>
      <x:c r="T94" s="173"/>
      <x:c r="U94" s="173"/>
      <x:c r="V94" s="173"/>
      <x:c r="W94" s="173"/>
      <x:c r="X94" s="173"/>
      <x:c r="Y94" s="173"/>
      <x:c r="Z94" s="174"/>
      <x:c r="AA94" s="175" t="str">
        <x:f>IF(H94="","BOŞ",IF(AND(H94="READY_FOR_REVIEW",I94&lt;&gt;"",J94&lt;&gt;"",LEN(K94)=64,L94&lt;&gt;"",M94&lt;&gt;"",N94&lt;&gt;"",O94&lt;&gt;"",P94&lt;&gt;"",Q94&lt;&gt;"",R94&lt;&gt;"",S94&lt;&gt;"",T94&lt;&gt;"",U94&lt;&gt;"",V94&lt;&gt;"",W94&lt;&gt;"",X94&lt;&gt;"",W94&lt;&gt;X94,Y94&lt;&gt;""),"İNCELEMEYE_HAZIR","EKSİK"))</x:f>
        <x:v>BOŞ</x:v>
      </x:c>
    </x:row>
    <x:row r="95" ht="38" customHeight="1">
      <x:c r="A95" s="169" t="n">
        <x:v>90</x:v>
      </x:c>
      <x:c r="B95" s="170" t="str">
        <x:v>VC-015</x:v>
      </x:c>
      <x:c r="C95" s="170" t="str">
        <x:v>VC</x:v>
      </x:c>
      <x:c r="D95" s="170" t="str">
        <x:v>YENİ / KOŞULLU</x:v>
      </x:c>
      <x:c r="E95" s="170" t="str">
        <x:v>Venue, Broker, Counterparty ve Saklama — VC</x:v>
      </x:c>
      <x:c r="F95" s="171" t="str">
        <x:v>Mark, index, settlement ve liquidation fiyatlarının kaynakları ile fallback hiyerarşisi doğrulanmış mı?</x:v>
      </x:c>
      <x:c r="G95" s="170" t="str">
        <x:v>REVIEW_REQUIRED</x:v>
      </x:c>
      <x:c r="H95" s="172"/>
      <x:c r="I95" s="173"/>
      <x:c r="J95" s="173"/>
      <x:c r="K95" s="173"/>
      <x:c r="L95" s="173"/>
      <x:c r="M95" s="173"/>
      <x:c r="N95" s="173"/>
      <x:c r="O95" s="173"/>
      <x:c r="P95" s="173"/>
      <x:c r="Q95" s="173"/>
      <x:c r="R95" s="173"/>
      <x:c r="S95" s="173"/>
      <x:c r="T95" s="173"/>
      <x:c r="U95" s="173"/>
      <x:c r="V95" s="173"/>
      <x:c r="W95" s="173"/>
      <x:c r="X95" s="173"/>
      <x:c r="Y95" s="173"/>
      <x:c r="Z95" s="174"/>
      <x:c r="AA95" s="175" t="str">
        <x:f>IF(H95="","BOŞ",IF(AND(H95="READY_FOR_REVIEW",I95&lt;&gt;"",J95&lt;&gt;"",LEN(K95)=64,L95&lt;&gt;"",M95&lt;&gt;"",N95&lt;&gt;"",O95&lt;&gt;"",P95&lt;&gt;"",Q95&lt;&gt;"",R95&lt;&gt;"",S95&lt;&gt;"",T95&lt;&gt;"",U95&lt;&gt;"",V95&lt;&gt;"",W95&lt;&gt;"",X95&lt;&gt;"",W95&lt;&gt;X95,Y95&lt;&gt;""),"İNCELEMEYE_HAZIR","EKSİK"))</x:f>
        <x:v>BOŞ</x:v>
      </x:c>
    </x:row>
    <x:row r="96" ht="38" customHeight="1">
      <x:c r="A96" s="169" t="n">
        <x:v>91</x:v>
      </x:c>
      <x:c r="B96" s="170" t="str">
        <x:v>VC-016</x:v>
      </x:c>
      <x:c r="C96" s="170" t="str">
        <x:v>VC</x:v>
      </x:c>
      <x:c r="D96" s="170" t="str">
        <x:v>YENİ / KOŞULLU</x:v>
      </x:c>
      <x:c r="E96" s="170" t="str">
        <x:v>Venue, Broker, Counterparty ve Saklama — VC</x:v>
      </x:c>
      <x:c r="F96" s="171" t="str">
        <x:v>Teminatın para birimi, haircut'ı, yeniden kullanım ve rehypothecation riski biliniyor mu?</x:v>
      </x:c>
      <x:c r="G96" s="170" t="str">
        <x:v>REVIEW_REQUIRED</x:v>
      </x:c>
      <x:c r="H96" s="172"/>
      <x:c r="I96" s="173"/>
      <x:c r="J96" s="173"/>
      <x:c r="K96" s="173"/>
      <x:c r="L96" s="173"/>
      <x:c r="M96" s="173"/>
      <x:c r="N96" s="173"/>
      <x:c r="O96" s="173"/>
      <x:c r="P96" s="173"/>
      <x:c r="Q96" s="173"/>
      <x:c r="R96" s="173"/>
      <x:c r="S96" s="173"/>
      <x:c r="T96" s="173"/>
      <x:c r="U96" s="173"/>
      <x:c r="V96" s="173"/>
      <x:c r="W96" s="173"/>
      <x:c r="X96" s="173"/>
      <x:c r="Y96" s="173"/>
      <x:c r="Z96" s="174"/>
      <x:c r="AA96" s="175" t="str">
        <x:f>IF(H96="","BOŞ",IF(AND(H96="READY_FOR_REVIEW",I96&lt;&gt;"",J96&lt;&gt;"",LEN(K96)=64,L96&lt;&gt;"",M96&lt;&gt;"",N96&lt;&gt;"",O96&lt;&gt;"",P96&lt;&gt;"",Q96&lt;&gt;"",R96&lt;&gt;"",S96&lt;&gt;"",T96&lt;&gt;"",U96&lt;&gt;"",V96&lt;&gt;"",W96&lt;&gt;"",X96&lt;&gt;"",W96&lt;&gt;X96,Y96&lt;&gt;""),"İNCELEMEYE_HAZIR","EKSİK"))</x:f>
        <x:v>BOŞ</x:v>
      </x:c>
    </x:row>
    <x:row r="97" ht="38" customHeight="1">
      <x:c r="A97" s="169" t="n">
        <x:v>92</x:v>
      </x:c>
      <x:c r="B97" s="170" t="str">
        <x:v>VC-017</x:v>
      </x:c>
      <x:c r="C97" s="170" t="str">
        <x:v>VC</x:v>
      </x:c>
      <x:c r="D97" s="170" t="str">
        <x:v>YENİ / KOŞULLU</x:v>
      </x:c>
      <x:c r="E97" s="170" t="str">
        <x:v>Venue, Broker, Counterparty ve Saklama — VC</x:v>
      </x:c>
      <x:c r="F97" s="171" t="str">
        <x:v>Stablecoin veya tokenized collateral depeg ve redemption riski sermaye hesabına giriyor mu?</x:v>
      </x:c>
      <x:c r="G97" s="170" t="str">
        <x:v>REVIEW_REQUIRED</x:v>
      </x:c>
      <x:c r="H97" s="172"/>
      <x:c r="I97" s="173"/>
      <x:c r="J97" s="173"/>
      <x:c r="K97" s="173"/>
      <x:c r="L97" s="173"/>
      <x:c r="M97" s="173"/>
      <x:c r="N97" s="173"/>
      <x:c r="O97" s="173"/>
      <x:c r="P97" s="173"/>
      <x:c r="Q97" s="173"/>
      <x:c r="R97" s="173"/>
      <x:c r="S97" s="173"/>
      <x:c r="T97" s="173"/>
      <x:c r="U97" s="173"/>
      <x:c r="V97" s="173"/>
      <x:c r="W97" s="173"/>
      <x:c r="X97" s="173"/>
      <x:c r="Y97" s="173"/>
      <x:c r="Z97" s="174"/>
      <x:c r="AA97" s="175" t="str">
        <x:f>IF(H97="","BOŞ",IF(AND(H97="READY_FOR_REVIEW",I97&lt;&gt;"",J97&lt;&gt;"",LEN(K97)=64,L97&lt;&gt;"",M97&lt;&gt;"",N97&lt;&gt;"",O97&lt;&gt;"",P97&lt;&gt;"",Q97&lt;&gt;"",R97&lt;&gt;"",S97&lt;&gt;"",T97&lt;&gt;"",U97&lt;&gt;"",V97&lt;&gt;"",W97&lt;&gt;"",X97&lt;&gt;"",W97&lt;&gt;X97,Y97&lt;&gt;""),"İNCELEMEYE_HAZIR","EKSİK"))</x:f>
        <x:v>BOŞ</x:v>
      </x:c>
    </x:row>
    <x:row r="98" ht="38" customHeight="1">
      <x:c r="A98" s="169" t="n">
        <x:v>93</x:v>
      </x:c>
      <x:c r="B98" s="170" t="str">
        <x:v>VC-018</x:v>
      </x:c>
      <x:c r="C98" s="170" t="str">
        <x:v>VC</x:v>
      </x:c>
      <x:c r="D98" s="170" t="str">
        <x:v>YENİ / ÖNERİLEN</x:v>
      </x:c>
      <x:c r="E98" s="170" t="str">
        <x:v>Venue, Broker, Counterparty ve Saklama — VC</x:v>
      </x:c>
      <x:c r="F98" s="171" t="str">
        <x:v>Broker/venue sağlık metriği finansal, operasyonel ve piyasa davranışı sinyallerini birbirine karıştırmadan izliyor mu?</x:v>
      </x:c>
      <x:c r="G98" s="170" t="str">
        <x:v>REVIEW_REQUIRED</x:v>
      </x:c>
      <x:c r="H98" s="172"/>
      <x:c r="I98" s="173"/>
      <x:c r="J98" s="173"/>
      <x:c r="K98" s="173"/>
      <x:c r="L98" s="173"/>
      <x:c r="M98" s="173"/>
      <x:c r="N98" s="173"/>
      <x:c r="O98" s="173"/>
      <x:c r="P98" s="173"/>
      <x:c r="Q98" s="173"/>
      <x:c r="R98" s="173"/>
      <x:c r="S98" s="173"/>
      <x:c r="T98" s="173"/>
      <x:c r="U98" s="173"/>
      <x:c r="V98" s="173"/>
      <x:c r="W98" s="173"/>
      <x:c r="X98" s="173"/>
      <x:c r="Y98" s="173"/>
      <x:c r="Z98" s="174"/>
      <x:c r="AA98" s="175" t="str">
        <x:f>IF(H98="","BOŞ",IF(AND(H98="READY_FOR_REVIEW",I98&lt;&gt;"",J98&lt;&gt;"",LEN(K98)=64,L98&lt;&gt;"",M98&lt;&gt;"",N98&lt;&gt;"",O98&lt;&gt;"",P98&lt;&gt;"",Q98&lt;&gt;"",R98&lt;&gt;"",S98&lt;&gt;"",T98&lt;&gt;"",U98&lt;&gt;"",V98&lt;&gt;"",W98&lt;&gt;"",X98&lt;&gt;"",W98&lt;&gt;X98,Y98&lt;&gt;""),"İNCELEMEYE_HAZIR","EKSİK"))</x:f>
        <x:v>BOŞ</x:v>
      </x:c>
    </x:row>
    <x:row r="99" ht="38" customHeight="1">
      <x:c r="A99" s="169" t="n">
        <x:v>94</x:v>
      </x:c>
      <x:c r="B99" s="170" t="str">
        <x:v>VC-019</x:v>
      </x:c>
      <x:c r="C99" s="170" t="str">
        <x:v>VC</x:v>
      </x:c>
      <x:c r="D99" s="170" t="str">
        <x:v>YENİ / ÖNERİLEN</x:v>
      </x:c>
      <x:c r="E99" s="170" t="str">
        <x:v>Venue, Broker, Counterparty ve Saklama — VC</x:v>
      </x:c>
      <x:c r="F99" s="171" t="str">
        <x:v>Counterparty sağlık sinyali UNKNOWN olduğunda yeni exposure fail-closed oluyor mu?</x:v>
      </x:c>
      <x:c r="G99" s="170" t="str">
        <x:v>REVIEW_REQUIRED</x:v>
      </x:c>
      <x:c r="H99" s="172"/>
      <x:c r="I99" s="173"/>
      <x:c r="J99" s="173"/>
      <x:c r="K99" s="173"/>
      <x:c r="L99" s="173"/>
      <x:c r="M99" s="173"/>
      <x:c r="N99" s="173"/>
      <x:c r="O99" s="173"/>
      <x:c r="P99" s="173"/>
      <x:c r="Q99" s="173"/>
      <x:c r="R99" s="173"/>
      <x:c r="S99" s="173"/>
      <x:c r="T99" s="173"/>
      <x:c r="U99" s="173"/>
      <x:c r="V99" s="173"/>
      <x:c r="W99" s="173"/>
      <x:c r="X99" s="173"/>
      <x:c r="Y99" s="173"/>
      <x:c r="Z99" s="174"/>
      <x:c r="AA99" s="175" t="str">
        <x:f>IF(H99="","BOŞ",IF(AND(H99="READY_FOR_REVIEW",I99&lt;&gt;"",J99&lt;&gt;"",LEN(K99)=64,L99&lt;&gt;"",M99&lt;&gt;"",N99&lt;&gt;"",O99&lt;&gt;"",P99&lt;&gt;"",Q99&lt;&gt;"",R99&lt;&gt;"",S99&lt;&gt;"",T99&lt;&gt;"",U99&lt;&gt;"",V99&lt;&gt;"",W99&lt;&gt;"",X99&lt;&gt;"",W99&lt;&gt;X99,Y99&lt;&gt;""),"İNCELEMEYE_HAZIR","EKSİK"))</x:f>
        <x:v>BOŞ</x:v>
      </x:c>
    </x:row>
    <x:row r="100" ht="38" customHeight="1">
      <x:c r="A100" s="169" t="n">
        <x:v>95</x:v>
      </x:c>
      <x:c r="B100" s="170" t="str">
        <x:v>VC-020</x:v>
      </x:c>
      <x:c r="C100" s="170" t="str">
        <x:v>VC</x:v>
      </x:c>
      <x:c r="D100" s="170" t="str">
        <x:v>YENİ / KOŞULLU</x:v>
      </x:c>
      <x:c r="E100" s="170" t="str">
        <x:v>Venue, Broker, Counterparty ve Saklama — VC</x:v>
      </x:c>
      <x:c r="F100" s="171" t="str">
        <x:v>Broker tarafından sunulan sigorta veya garanti kapsamı doğrulanmadan risk azaltıcı sayılmıyor mu?</x:v>
      </x:c>
      <x:c r="G100" s="170" t="str">
        <x:v>REVIEW_REQUIRED</x:v>
      </x:c>
      <x:c r="H100" s="172"/>
      <x:c r="I100" s="173"/>
      <x:c r="J100" s="173"/>
      <x:c r="K100" s="173"/>
      <x:c r="L100" s="173"/>
      <x:c r="M100" s="173"/>
      <x:c r="N100" s="173"/>
      <x:c r="O100" s="173"/>
      <x:c r="P100" s="173"/>
      <x:c r="Q100" s="173"/>
      <x:c r="R100" s="173"/>
      <x:c r="S100" s="173"/>
      <x:c r="T100" s="173"/>
      <x:c r="U100" s="173"/>
      <x:c r="V100" s="173"/>
      <x:c r="W100" s="173"/>
      <x:c r="X100" s="173"/>
      <x:c r="Y100" s="173"/>
      <x:c r="Z100" s="174"/>
      <x:c r="AA100" s="175" t="str">
        <x:f>IF(H100="","BOŞ",IF(AND(H100="READY_FOR_REVIEW",I100&lt;&gt;"",J100&lt;&gt;"",LEN(K100)=64,L100&lt;&gt;"",M100&lt;&gt;"",N100&lt;&gt;"",O100&lt;&gt;"",P100&lt;&gt;"",Q100&lt;&gt;"",R100&lt;&gt;"",S100&lt;&gt;"",T100&lt;&gt;"",U100&lt;&gt;"",V100&lt;&gt;"",W100&lt;&gt;"",X100&lt;&gt;"",W100&lt;&gt;X100,Y100&lt;&gt;""),"İNCELEMEYE_HAZIR","EKSİK"))</x:f>
        <x:v>BOŞ</x:v>
      </x:c>
    </x:row>
    <x:row r="101" ht="38" customHeight="1">
      <x:c r="A101" s="169" t="n">
        <x:v>96</x:v>
      </x:c>
      <x:c r="B101" s="170" t="str">
        <x:v>VC-021</x:v>
      </x:c>
      <x:c r="C101" s="170" t="str">
        <x:v>VC</x:v>
      </x:c>
      <x:c r="D101" s="170" t="str">
        <x:v>YENİ / KOŞULLU</x:v>
      </x:c>
      <x:c r="E101" s="170" t="str">
        <x:v>Venue, Broker, Counterparty ve Saklama — VC</x:v>
      </x:c>
      <x:c r="F101" s="171" t="str">
        <x:v>Settlement fail, trade bust, give-up ve allocation hataları accounting/reconciliation içinde ele alınıyor mu?</x:v>
      </x:c>
      <x:c r="G101" s="170" t="str">
        <x:v>REVIEW_REQUIRED</x:v>
      </x:c>
      <x:c r="H101" s="172"/>
      <x:c r="I101" s="173"/>
      <x:c r="J101" s="173"/>
      <x:c r="K101" s="173"/>
      <x:c r="L101" s="173"/>
      <x:c r="M101" s="173"/>
      <x:c r="N101" s="173"/>
      <x:c r="O101" s="173"/>
      <x:c r="P101" s="173"/>
      <x:c r="Q101" s="173"/>
      <x:c r="R101" s="173"/>
      <x:c r="S101" s="173"/>
      <x:c r="T101" s="173"/>
      <x:c r="U101" s="173"/>
      <x:c r="V101" s="173"/>
      <x:c r="W101" s="173"/>
      <x:c r="X101" s="173"/>
      <x:c r="Y101" s="173"/>
      <x:c r="Z101" s="174"/>
      <x:c r="AA101" s="175" t="str">
        <x:f>IF(H101="","BOŞ",IF(AND(H101="READY_FOR_REVIEW",I101&lt;&gt;"",J101&lt;&gt;"",LEN(K101)=64,L101&lt;&gt;"",M101&lt;&gt;"",N101&lt;&gt;"",O101&lt;&gt;"",P101&lt;&gt;"",Q101&lt;&gt;"",R101&lt;&gt;"",S101&lt;&gt;"",T101&lt;&gt;"",U101&lt;&gt;"",V101&lt;&gt;"",W101&lt;&gt;"",X101&lt;&gt;"",W101&lt;&gt;X101,Y101&lt;&gt;""),"İNCELEMEYE_HAZIR","EKSİK"))</x:f>
        <x:v>BOŞ</x:v>
      </x:c>
    </x:row>
    <x:row r="102" ht="38" customHeight="1">
      <x:c r="A102" s="169" t="n">
        <x:v>97</x:v>
      </x:c>
      <x:c r="B102" s="170" t="str">
        <x:v>VC-022</x:v>
      </x:c>
      <x:c r="C102" s="170" t="str">
        <x:v>VC</x:v>
      </x:c>
      <x:c r="D102" s="170" t="str">
        <x:v>YENİ / KOŞULLU</x:v>
      </x:c>
      <x:c r="E102" s="170" t="str">
        <x:v>Venue, Broker, Counterparty ve Saklama — VC</x:v>
      </x:c>
      <x:c r="F102" s="171" t="str">
        <x:v>Venue liquidation engine davranışı gap, illiquidity ve partial liquidation altında replay edilebiliyor mu?</x:v>
      </x:c>
      <x:c r="G102" s="170" t="str">
        <x:v>REVIEW_REQUIRED</x:v>
      </x:c>
      <x:c r="H102" s="172"/>
      <x:c r="I102" s="173"/>
      <x:c r="J102" s="173"/>
      <x:c r="K102" s="173"/>
      <x:c r="L102" s="173"/>
      <x:c r="M102" s="173"/>
      <x:c r="N102" s="173"/>
      <x:c r="O102" s="173"/>
      <x:c r="P102" s="173"/>
      <x:c r="Q102" s="173"/>
      <x:c r="R102" s="173"/>
      <x:c r="S102" s="173"/>
      <x:c r="T102" s="173"/>
      <x:c r="U102" s="173"/>
      <x:c r="V102" s="173"/>
      <x:c r="W102" s="173"/>
      <x:c r="X102" s="173"/>
      <x:c r="Y102" s="173"/>
      <x:c r="Z102" s="174"/>
      <x:c r="AA102" s="175" t="str">
        <x:f>IF(H102="","BOŞ",IF(AND(H102="READY_FOR_REVIEW",I102&lt;&gt;"",J102&lt;&gt;"",LEN(K102)=64,L102&lt;&gt;"",M102&lt;&gt;"",N102&lt;&gt;"",O102&lt;&gt;"",P102&lt;&gt;"",Q102&lt;&gt;"",R102&lt;&gt;"",S102&lt;&gt;"",T102&lt;&gt;"",U102&lt;&gt;"",V102&lt;&gt;"",W102&lt;&gt;"",X102&lt;&gt;"",W102&lt;&gt;X102,Y102&lt;&gt;""),"İNCELEMEYE_HAZIR","EKSİK"))</x:f>
        <x:v>BOŞ</x:v>
      </x:c>
    </x:row>
    <x:row r="103" ht="38" customHeight="1">
      <x:c r="A103" s="169" t="n">
        <x:v>98</x:v>
      </x:c>
      <x:c r="B103" s="170" t="str">
        <x:v>VC-023</x:v>
      </x:c>
      <x:c r="C103" s="170" t="str">
        <x:v>VC</x:v>
      </x:c>
      <x:c r="D103" s="170" t="str">
        <x:v>YENİ / ÖNERİLEN</x:v>
      </x:c>
      <x:c r="E103" s="170" t="str">
        <x:v>Venue, Broker, Counterparty ve Saklama — VC</x:v>
      </x:c>
      <x:c r="F103" s="171" t="str">
        <x:v>Bağlı counterparty'ler veya ortak altyapı nedeniyle görünmeyen yoğunlaşma tespit ediliyor mu?</x:v>
      </x:c>
      <x:c r="G103" s="170" t="str">
        <x:v>REVIEW_REQUIRED</x:v>
      </x:c>
      <x:c r="H103" s="172"/>
      <x:c r="I103" s="173"/>
      <x:c r="J103" s="173"/>
      <x:c r="K103" s="173"/>
      <x:c r="L103" s="173"/>
      <x:c r="M103" s="173"/>
      <x:c r="N103" s="173"/>
      <x:c r="O103" s="173"/>
      <x:c r="P103" s="173"/>
      <x:c r="Q103" s="173"/>
      <x:c r="R103" s="173"/>
      <x:c r="S103" s="173"/>
      <x:c r="T103" s="173"/>
      <x:c r="U103" s="173"/>
      <x:c r="V103" s="173"/>
      <x:c r="W103" s="173"/>
      <x:c r="X103" s="173"/>
      <x:c r="Y103" s="173"/>
      <x:c r="Z103" s="174"/>
      <x:c r="AA103" s="175" t="str">
        <x:f>IF(H103="","BOŞ",IF(AND(H103="READY_FOR_REVIEW",I103&lt;&gt;"",J103&lt;&gt;"",LEN(K103)=64,L103&lt;&gt;"",M103&lt;&gt;"",N103&lt;&gt;"",O103&lt;&gt;"",P103&lt;&gt;"",Q103&lt;&gt;"",R103&lt;&gt;"",S103&lt;&gt;"",T103&lt;&gt;"",U103&lt;&gt;"",V103&lt;&gt;"",W103&lt;&gt;"",X103&lt;&gt;"",W103&lt;&gt;X103,Y103&lt;&gt;""),"İNCELEMEYE_HAZIR","EKSİK"))</x:f>
        <x:v>BOŞ</x:v>
      </x:c>
    </x:row>
    <x:row r="104" ht="38" customHeight="1">
      <x:c r="A104" s="169" t="n">
        <x:v>99</x:v>
      </x:c>
      <x:c r="B104" s="170" t="str">
        <x:v>VC-024</x:v>
      </x:c>
      <x:c r="C104" s="170" t="str">
        <x:v>VC</x:v>
      </x:c>
      <x:c r="D104" s="170" t="str">
        <x:v>YENİ / ÖNERİLEN</x:v>
      </x:c>
      <x:c r="E104" s="170" t="str">
        <x:v>Venue, Broker, Counterparty ve Saklama — VC</x:v>
      </x:c>
      <x:c r="F104" s="171" t="str">
        <x:v>Counterparty çıkış planı veri, pozisyon, nakit ve kayıt taşınabilirliğini içeriyor mu?</x:v>
      </x:c>
      <x:c r="G104" s="170" t="str">
        <x:v>REVIEW_REQUIRED</x:v>
      </x:c>
      <x:c r="H104" s="172"/>
      <x:c r="I104" s="173"/>
      <x:c r="J104" s="173"/>
      <x:c r="K104" s="173"/>
      <x:c r="L104" s="173"/>
      <x:c r="M104" s="173"/>
      <x:c r="N104" s="173"/>
      <x:c r="O104" s="173"/>
      <x:c r="P104" s="173"/>
      <x:c r="Q104" s="173"/>
      <x:c r="R104" s="173"/>
      <x:c r="S104" s="173"/>
      <x:c r="T104" s="173"/>
      <x:c r="U104" s="173"/>
      <x:c r="V104" s="173"/>
      <x:c r="W104" s="173"/>
      <x:c r="X104" s="173"/>
      <x:c r="Y104" s="173"/>
      <x:c r="Z104" s="174"/>
      <x:c r="AA104" s="175" t="str">
        <x:f>IF(H104="","BOŞ",IF(AND(H104="READY_FOR_REVIEW",I104&lt;&gt;"",J104&lt;&gt;"",LEN(K104)=64,L104&lt;&gt;"",M104&lt;&gt;"",N104&lt;&gt;"",O104&lt;&gt;"",P104&lt;&gt;"",Q104&lt;&gt;"",R104&lt;&gt;"",S104&lt;&gt;"",T104&lt;&gt;"",U104&lt;&gt;"",V104&lt;&gt;"",W104&lt;&gt;"",X104&lt;&gt;"",W104&lt;&gt;X104,Y104&lt;&gt;""),"İNCELEMEYE_HAZIR","EKSİK"))</x:f>
        <x:v>BOŞ</x:v>
      </x:c>
    </x:row>
    <x:row r="105" ht="38" customHeight="1">
      <x:c r="A105" s="169" t="n">
        <x:v>100</x:v>
      </x:c>
      <x:c r="B105" s="170" t="str">
        <x:v>VC-025</x:v>
      </x:c>
      <x:c r="C105" s="170" t="str">
        <x:v>VC</x:v>
      </x:c>
      <x:c r="D105" s="170" t="str">
        <x:v>YENİ / ÖNERİLEN</x:v>
      </x:c>
      <x:c r="E105" s="170" t="str">
        <x:v>Venue, Broker, Counterparty ve Saklama — VC</x:v>
      </x:c>
      <x:c r="F105" s="171" t="str">
        <x:v>Counterparty risk kararı P&amp;L veya daha iyi görünen fiyat nedeniyle aşılamıyor mu?</x:v>
      </x:c>
      <x:c r="G105" s="170" t="str">
        <x:v>REVIEW_REQUIRED</x:v>
      </x:c>
      <x:c r="H105" s="172"/>
      <x:c r="I105" s="173"/>
      <x:c r="J105" s="173"/>
      <x:c r="K105" s="173"/>
      <x:c r="L105" s="173"/>
      <x:c r="M105" s="173"/>
      <x:c r="N105" s="173"/>
      <x:c r="O105" s="173"/>
      <x:c r="P105" s="173"/>
      <x:c r="Q105" s="173"/>
      <x:c r="R105" s="173"/>
      <x:c r="S105" s="173"/>
      <x:c r="T105" s="173"/>
      <x:c r="U105" s="173"/>
      <x:c r="V105" s="173"/>
      <x:c r="W105" s="173"/>
      <x:c r="X105" s="173"/>
      <x:c r="Y105" s="173"/>
      <x:c r="Z105" s="174"/>
      <x:c r="AA105" s="175" t="str">
        <x:f>IF(H105="","BOŞ",IF(AND(H105="READY_FOR_REVIEW",I105&lt;&gt;"",J105&lt;&gt;"",LEN(K105)=64,L105&lt;&gt;"",M105&lt;&gt;"",N105&lt;&gt;"",O105&lt;&gt;"",P105&lt;&gt;"",Q105&lt;&gt;"",R105&lt;&gt;"",S105&lt;&gt;"",T105&lt;&gt;"",U105&lt;&gt;"",V105&lt;&gt;"",W105&lt;&gt;"",X105&lt;&gt;"",W105&lt;&gt;X105,Y105&lt;&gt;""),"İNCELEMEYE_HAZIR","EKSİK"))</x:f>
        <x:v>BOŞ</x:v>
      </x:c>
    </x:row>
    <x:row r="106" ht="38" customHeight="1">
      <x:c r="A106" s="169" t="n">
        <x:v>101</x:v>
      </x:c>
      <x:c r="B106" s="170" t="str">
        <x:v>CY-001</x:v>
      </x:c>
      <x:c r="C106" s="170" t="str">
        <x:v>CY</x:v>
      </x:c>
      <x:c r="D106" s="170" t="str">
        <x:v>YENİ / ÖNERİLEN</x:v>
      </x:c>
      <x:c r="E106" s="170" t="str">
        <x:v>Siber Güvenlik, Tedarik Zinciri ve Adversarial ML — CY</x:v>
      </x:c>
      <x:c r="F106" s="171" t="str">
        <x:v>Üretim bağımlılıkları için sürüm kilidi, provenance ve SBOM benzeri envanter tutuluyor mu?</x:v>
      </x:c>
      <x:c r="G106" s="170" t="str">
        <x:v>REVIEW_REQUIRED</x:v>
      </x:c>
      <x:c r="H106" s="172"/>
      <x:c r="I106" s="173"/>
      <x:c r="J106" s="173"/>
      <x:c r="K106" s="173"/>
      <x:c r="L106" s="173"/>
      <x:c r="M106" s="173"/>
      <x:c r="N106" s="173"/>
      <x:c r="O106" s="173"/>
      <x:c r="P106" s="173"/>
      <x:c r="Q106" s="173"/>
      <x:c r="R106" s="173"/>
      <x:c r="S106" s="173"/>
      <x:c r="T106" s="173"/>
      <x:c r="U106" s="173"/>
      <x:c r="V106" s="173"/>
      <x:c r="W106" s="173"/>
      <x:c r="X106" s="173"/>
      <x:c r="Y106" s="173"/>
      <x:c r="Z106" s="174"/>
      <x:c r="AA106" s="175" t="str">
        <x:f>IF(H106="","BOŞ",IF(AND(H106="READY_FOR_REVIEW",I106&lt;&gt;"",J106&lt;&gt;"",LEN(K106)=64,L106&lt;&gt;"",M106&lt;&gt;"",N106&lt;&gt;"",O106&lt;&gt;"",P106&lt;&gt;"",Q106&lt;&gt;"",R106&lt;&gt;"",S106&lt;&gt;"",T106&lt;&gt;"",U106&lt;&gt;"",V106&lt;&gt;"",W106&lt;&gt;"",X106&lt;&gt;"",W106&lt;&gt;X106,Y106&lt;&gt;""),"İNCELEMEYE_HAZIR","EKSİK"))</x:f>
        <x:v>BOŞ</x:v>
      </x:c>
    </x:row>
    <x:row r="107" ht="38" customHeight="1">
      <x:c r="A107" s="169" t="n">
        <x:v>102</x:v>
      </x:c>
      <x:c r="B107" s="170" t="str">
        <x:v>CY-002</x:v>
      </x:c>
      <x:c r="C107" s="170" t="str">
        <x:v>CY</x:v>
      </x:c>
      <x:c r="D107" s="170" t="str">
        <x:v>YENİ / ÖNERİLEN</x:v>
      </x:c>
      <x:c r="E107" s="170" t="str">
        <x:v>Siber Güvenlik, Tedarik Zinciri ve Adversarial ML — CY</x:v>
      </x:c>
      <x:c r="F107" s="171" t="str">
        <x:v>Build ve deployment artefaktları imzalı ve doğrulanmış kaynaktan mı geliyor?</x:v>
      </x:c>
      <x:c r="G107" s="170" t="str">
        <x:v>REVIEW_REQUIRED</x:v>
      </x:c>
      <x:c r="H107" s="172"/>
      <x:c r="I107" s="173"/>
      <x:c r="J107" s="173"/>
      <x:c r="K107" s="173"/>
      <x:c r="L107" s="173"/>
      <x:c r="M107" s="173"/>
      <x:c r="N107" s="173"/>
      <x:c r="O107" s="173"/>
      <x:c r="P107" s="173"/>
      <x:c r="Q107" s="173"/>
      <x:c r="R107" s="173"/>
      <x:c r="S107" s="173"/>
      <x:c r="T107" s="173"/>
      <x:c r="U107" s="173"/>
      <x:c r="V107" s="173"/>
      <x:c r="W107" s="173"/>
      <x:c r="X107" s="173"/>
      <x:c r="Y107" s="173"/>
      <x:c r="Z107" s="174"/>
      <x:c r="AA107" s="175" t="str">
        <x:f>IF(H107="","BOŞ",IF(AND(H107="READY_FOR_REVIEW",I107&lt;&gt;"",J107&lt;&gt;"",LEN(K107)=64,L107&lt;&gt;"",M107&lt;&gt;"",N107&lt;&gt;"",O107&lt;&gt;"",P107&lt;&gt;"",Q107&lt;&gt;"",R107&lt;&gt;"",S107&lt;&gt;"",T107&lt;&gt;"",U107&lt;&gt;"",V107&lt;&gt;"",W107&lt;&gt;"",X107&lt;&gt;"",W107&lt;&gt;X107,Y107&lt;&gt;""),"İNCELEMEYE_HAZIR","EKSİK"))</x:f>
        <x:v>BOŞ</x:v>
      </x:c>
    </x:row>
    <x:row r="108" ht="38" customHeight="1">
      <x:c r="A108" s="169" t="n">
        <x:v>103</x:v>
      </x:c>
      <x:c r="B108" s="170" t="str">
        <x:v>CY-003</x:v>
      </x:c>
      <x:c r="C108" s="170" t="str">
        <x:v>CY</x:v>
      </x:c>
      <x:c r="D108" s="170" t="str">
        <x:v>YENİ / ÖNERİLEN</x:v>
      </x:c>
      <x:c r="E108" s="170" t="str">
        <x:v>Siber Güvenlik, Tedarik Zinciri ve Adversarial ML — CY</x:v>
      </x:c>
      <x:c r="F108" s="171" t="str">
        <x:v>Secret, API key ve signing key'ler ortam, rol ve yetenek bazında ayrılmış mı?</x:v>
      </x:c>
      <x:c r="G108" s="170" t="str">
        <x:v>REVIEW_REQUIRED</x:v>
      </x:c>
      <x:c r="H108" s="172"/>
      <x:c r="I108" s="173"/>
      <x:c r="J108" s="173"/>
      <x:c r="K108" s="173"/>
      <x:c r="L108" s="173"/>
      <x:c r="M108" s="173"/>
      <x:c r="N108" s="173"/>
      <x:c r="O108" s="173"/>
      <x:c r="P108" s="173"/>
      <x:c r="Q108" s="173"/>
      <x:c r="R108" s="173"/>
      <x:c r="S108" s="173"/>
      <x:c r="T108" s="173"/>
      <x:c r="U108" s="173"/>
      <x:c r="V108" s="173"/>
      <x:c r="W108" s="173"/>
      <x:c r="X108" s="173"/>
      <x:c r="Y108" s="173"/>
      <x:c r="Z108" s="174"/>
      <x:c r="AA108" s="175" t="str">
        <x:f>IF(H108="","BOŞ",IF(AND(H108="READY_FOR_REVIEW",I108&lt;&gt;"",J108&lt;&gt;"",LEN(K108)=64,L108&lt;&gt;"",M108&lt;&gt;"",N108&lt;&gt;"",O108&lt;&gt;"",P108&lt;&gt;"",Q108&lt;&gt;"",R108&lt;&gt;"",S108&lt;&gt;"",T108&lt;&gt;"",U108&lt;&gt;"",V108&lt;&gt;"",W108&lt;&gt;"",X108&lt;&gt;"",W108&lt;&gt;X108,Y108&lt;&gt;""),"İNCELEMEYE_HAZIR","EKSİK"))</x:f>
        <x:v>BOŞ</x:v>
      </x:c>
    </x:row>
    <x:row r="109" ht="38" customHeight="1">
      <x:c r="A109" s="169" t="n">
        <x:v>104</x:v>
      </x:c>
      <x:c r="B109" s="170" t="str">
        <x:v>CY-004</x:v>
      </x:c>
      <x:c r="C109" s="170" t="str">
        <x:v>CY</x:v>
      </x:c>
      <x:c r="D109" s="170" t="str">
        <x:v>YENİ / ÖNERİLEN</x:v>
      </x:c>
      <x:c r="E109" s="170" t="str">
        <x:v>Siber Güvenlik, Tedarik Zinciri ve Adversarial ML — CY</x:v>
      </x:c>
      <x:c r="F109" s="171" t="str">
        <x:v>Kritik erişimlerde MFA, least privilege, kısa ömürlü kimlik ve düzenli erişim incelemesi uygulanıyor mu?</x:v>
      </x:c>
      <x:c r="G109" s="170" t="str">
        <x:v>REVIEW_REQUIRED</x:v>
      </x:c>
      <x:c r="H109" s="172"/>
      <x:c r="I109" s="173"/>
      <x:c r="J109" s="173"/>
      <x:c r="K109" s="173"/>
      <x:c r="L109" s="173"/>
      <x:c r="M109" s="173"/>
      <x:c r="N109" s="173"/>
      <x:c r="O109" s="173"/>
      <x:c r="P109" s="173"/>
      <x:c r="Q109" s="173"/>
      <x:c r="R109" s="173"/>
      <x:c r="S109" s="173"/>
      <x:c r="T109" s="173"/>
      <x:c r="U109" s="173"/>
      <x:c r="V109" s="173"/>
      <x:c r="W109" s="173"/>
      <x:c r="X109" s="173"/>
      <x:c r="Y109" s="173"/>
      <x:c r="Z109" s="174"/>
      <x:c r="AA109" s="175" t="str">
        <x:f>IF(H109="","BOŞ",IF(AND(H109="READY_FOR_REVIEW",I109&lt;&gt;"",J109&lt;&gt;"",LEN(K109)=64,L109&lt;&gt;"",M109&lt;&gt;"",N109&lt;&gt;"",O109&lt;&gt;"",P109&lt;&gt;"",Q109&lt;&gt;"",R109&lt;&gt;"",S109&lt;&gt;"",T109&lt;&gt;"",U109&lt;&gt;"",V109&lt;&gt;"",W109&lt;&gt;"",X109&lt;&gt;"",W109&lt;&gt;X109,Y109&lt;&gt;""),"İNCELEMEYE_HAZIR","EKSİK"))</x:f>
        <x:v>BOŞ</x:v>
      </x:c>
    </x:row>
    <x:row r="110" ht="38" customHeight="1">
      <x:c r="A110" s="169" t="n">
        <x:v>105</x:v>
      </x:c>
      <x:c r="B110" s="170" t="str">
        <x:v>CY-005</x:v>
      </x:c>
      <x:c r="C110" s="170" t="str">
        <x:v>CY</x:v>
      </x:c>
      <x:c r="D110" s="170" t="str">
        <x:v>YENİ / ÖNERİLEN</x:v>
      </x:c>
      <x:c r="E110" s="170" t="str">
        <x:v>Siber Güvenlik, Tedarik Zinciri ve Adversarial ML — CY</x:v>
      </x:c>
      <x:c r="F110" s="171" t="str">
        <x:v>Anahtar rotasyonu açık emirler ve recovery yetkisini bozmadan test edilmiş mi?</x:v>
      </x:c>
      <x:c r="G110" s="170" t="str">
        <x:v>REVIEW_REQUIRED</x:v>
      </x:c>
      <x:c r="H110" s="172"/>
      <x:c r="I110" s="173"/>
      <x:c r="J110" s="173"/>
      <x:c r="K110" s="173"/>
      <x:c r="L110" s="173"/>
      <x:c r="M110" s="173"/>
      <x:c r="N110" s="173"/>
      <x:c r="O110" s="173"/>
      <x:c r="P110" s="173"/>
      <x:c r="Q110" s="173"/>
      <x:c r="R110" s="173"/>
      <x:c r="S110" s="173"/>
      <x:c r="T110" s="173"/>
      <x:c r="U110" s="173"/>
      <x:c r="V110" s="173"/>
      <x:c r="W110" s="173"/>
      <x:c r="X110" s="173"/>
      <x:c r="Y110" s="173"/>
      <x:c r="Z110" s="174"/>
      <x:c r="AA110" s="175" t="str">
        <x:f>IF(H110="","BOŞ",IF(AND(H110="READY_FOR_REVIEW",I110&lt;&gt;"",J110&lt;&gt;"",LEN(K110)=64,L110&lt;&gt;"",M110&lt;&gt;"",N110&lt;&gt;"",O110&lt;&gt;"",P110&lt;&gt;"",Q110&lt;&gt;"",R110&lt;&gt;"",S110&lt;&gt;"",T110&lt;&gt;"",U110&lt;&gt;"",V110&lt;&gt;"",W110&lt;&gt;"",X110&lt;&gt;"",W110&lt;&gt;X110,Y110&lt;&gt;""),"İNCELEMEYE_HAZIR","EKSİK"))</x:f>
        <x:v>BOŞ</x:v>
      </x:c>
    </x:row>
    <x:row r="111" ht="38" customHeight="1">
      <x:c r="A111" s="169" t="n">
        <x:v>106</x:v>
      </x:c>
      <x:c r="B111" s="170" t="str">
        <x:v>CY-006</x:v>
      </x:c>
      <x:c r="C111" s="170" t="str">
        <x:v>CY</x:v>
      </x:c>
      <x:c r="D111" s="170" t="str">
        <x:v>YENİ / ÖNERİLEN</x:v>
      </x:c>
      <x:c r="E111" s="170" t="str">
        <x:v>Siber Güvenlik, Tedarik Zinciri ve Adversarial ML — CY</x:v>
      </x:c>
      <x:c r="F111" s="171" t="str">
        <x:v>Güvenlik açığı bulunan dependency'nin etkilediği engine, veri ve sertifika scope'u çıkarılabiliyor mu?</x:v>
      </x:c>
      <x:c r="G111" s="170" t="str">
        <x:v>REVIEW_REQUIRED</x:v>
      </x:c>
      <x:c r="H111" s="172"/>
      <x:c r="I111" s="173"/>
      <x:c r="J111" s="173"/>
      <x:c r="K111" s="173"/>
      <x:c r="L111" s="173"/>
      <x:c r="M111" s="173"/>
      <x:c r="N111" s="173"/>
      <x:c r="O111" s="173"/>
      <x:c r="P111" s="173"/>
      <x:c r="Q111" s="173"/>
      <x:c r="R111" s="173"/>
      <x:c r="S111" s="173"/>
      <x:c r="T111" s="173"/>
      <x:c r="U111" s="173"/>
      <x:c r="V111" s="173"/>
      <x:c r="W111" s="173"/>
      <x:c r="X111" s="173"/>
      <x:c r="Y111" s="173"/>
      <x:c r="Z111" s="174"/>
      <x:c r="AA111" s="175" t="str">
        <x:f>IF(H111="","BOŞ",IF(AND(H111="READY_FOR_REVIEW",I111&lt;&gt;"",J111&lt;&gt;"",LEN(K111)=64,L111&lt;&gt;"",M111&lt;&gt;"",N111&lt;&gt;"",O111&lt;&gt;"",P111&lt;&gt;"",Q111&lt;&gt;"",R111&lt;&gt;"",S111&lt;&gt;"",T111&lt;&gt;"",U111&lt;&gt;"",V111&lt;&gt;"",W111&lt;&gt;"",X111&lt;&gt;"",W111&lt;&gt;X111,Y111&lt;&gt;""),"İNCELEMEYE_HAZIR","EKSİK"))</x:f>
        <x:v>BOŞ</x:v>
      </x:c>
    </x:row>
    <x:row r="112" ht="38" customHeight="1">
      <x:c r="A112" s="169" t="n">
        <x:v>107</x:v>
      </x:c>
      <x:c r="B112" s="170" t="str">
        <x:v>CY-007</x:v>
      </x:c>
      <x:c r="C112" s="170" t="str">
        <x:v>CY</x:v>
      </x:c>
      <x:c r="D112" s="170" t="str">
        <x:v>YENİ / ÖNERİLEN</x:v>
      </x:c>
      <x:c r="E112" s="170" t="str">
        <x:v>Siber Güvenlik, Tedarik Zinciri ve Adversarial ML — CY</x:v>
      </x:c>
      <x:c r="F112" s="171" t="str">
        <x:v>Development, research, test ve production ağları ile kimlikleri gerçekten ayrılmış mı?</x:v>
      </x:c>
      <x:c r="G112" s="170" t="str">
        <x:v>REVIEW_REQUIRED</x:v>
      </x:c>
      <x:c r="H112" s="172"/>
      <x:c r="I112" s="173"/>
      <x:c r="J112" s="173"/>
      <x:c r="K112" s="173"/>
      <x:c r="L112" s="173"/>
      <x:c r="M112" s="173"/>
      <x:c r="N112" s="173"/>
      <x:c r="O112" s="173"/>
      <x:c r="P112" s="173"/>
      <x:c r="Q112" s="173"/>
      <x:c r="R112" s="173"/>
      <x:c r="S112" s="173"/>
      <x:c r="T112" s="173"/>
      <x:c r="U112" s="173"/>
      <x:c r="V112" s="173"/>
      <x:c r="W112" s="173"/>
      <x:c r="X112" s="173"/>
      <x:c r="Y112" s="173"/>
      <x:c r="Z112" s="174"/>
      <x:c r="AA112" s="175" t="str">
        <x:f>IF(H112="","BOŞ",IF(AND(H112="READY_FOR_REVIEW",I112&lt;&gt;"",J112&lt;&gt;"",LEN(K112)=64,L112&lt;&gt;"",M112&lt;&gt;"",N112&lt;&gt;"",O112&lt;&gt;"",P112&lt;&gt;"",Q112&lt;&gt;"",R112&lt;&gt;"",S112&lt;&gt;"",T112&lt;&gt;"",U112&lt;&gt;"",V112&lt;&gt;"",W112&lt;&gt;"",X112&lt;&gt;"",W112&lt;&gt;X112,Y112&lt;&gt;""),"İNCELEMEYE_HAZIR","EKSİK"))</x:f>
        <x:v>BOŞ</x:v>
      </x:c>
    </x:row>
    <x:row r="113" ht="38" customHeight="1">
      <x:c r="A113" s="169" t="n">
        <x:v>108</x:v>
      </x:c>
      <x:c r="B113" s="170" t="str">
        <x:v>CY-008</x:v>
      </x:c>
      <x:c r="C113" s="170" t="str">
        <x:v>CY</x:v>
      </x:c>
      <x:c r="D113" s="170" t="str">
        <x:v>YENİ / ÖNERİLEN</x:v>
      </x:c>
      <x:c r="E113" s="170" t="str">
        <x:v>Siber Güvenlik, Tedarik Zinciri ve Adversarial ML — CY</x:v>
      </x:c>
      <x:c r="F113" s="171" t="str">
        <x:v>Market-data poisoning veya sahte feed enjeksiyonu bağımsız kaynak ve imza/transport kanıtıyla tespit ediliyor mu?</x:v>
      </x:c>
      <x:c r="G113" s="170" t="str">
        <x:v>REVIEW_REQUIRED</x:v>
      </x:c>
      <x:c r="H113" s="172"/>
      <x:c r="I113" s="173"/>
      <x:c r="J113" s="173"/>
      <x:c r="K113" s="173"/>
      <x:c r="L113" s="173"/>
      <x:c r="M113" s="173"/>
      <x:c r="N113" s="173"/>
      <x:c r="O113" s="173"/>
      <x:c r="P113" s="173"/>
      <x:c r="Q113" s="173"/>
      <x:c r="R113" s="173"/>
      <x:c r="S113" s="173"/>
      <x:c r="T113" s="173"/>
      <x:c r="U113" s="173"/>
      <x:c r="V113" s="173"/>
      <x:c r="W113" s="173"/>
      <x:c r="X113" s="173"/>
      <x:c r="Y113" s="173"/>
      <x:c r="Z113" s="174"/>
      <x:c r="AA113" s="175" t="str">
        <x:f>IF(H113="","BOŞ",IF(AND(H113="READY_FOR_REVIEW",I113&lt;&gt;"",J113&lt;&gt;"",LEN(K113)=64,L113&lt;&gt;"",M113&lt;&gt;"",N113&lt;&gt;"",O113&lt;&gt;"",P113&lt;&gt;"",Q113&lt;&gt;"",R113&lt;&gt;"",S113&lt;&gt;"",T113&lt;&gt;"",U113&lt;&gt;"",V113&lt;&gt;"",W113&lt;&gt;"",X113&lt;&gt;"",W113&lt;&gt;X113,Y113&lt;&gt;""),"İNCELEMEYE_HAZIR","EKSİK"))</x:f>
        <x:v>BOŞ</x:v>
      </x:c>
    </x:row>
    <x:row r="114" ht="38" customHeight="1">
      <x:c r="A114" s="169" t="n">
        <x:v>109</x:v>
      </x:c>
      <x:c r="B114" s="170" t="str">
        <x:v>CY-009</x:v>
      </x:c>
      <x:c r="C114" s="170" t="str">
        <x:v>CY</x:v>
      </x:c>
      <x:c r="D114" s="170" t="str">
        <x:v>YENİ / ÖNERİLEN</x:v>
      </x:c>
      <x:c r="E114" s="170" t="str">
        <x:v>Siber Güvenlik, Tedarik Zinciri ve Adversarial ML — CY</x:v>
      </x:c>
      <x:c r="F114" s="171" t="str">
        <x:v>Training data poisoning, label corruption ve backdoor örüntüleri için testler var mı?</x:v>
      </x:c>
      <x:c r="G114" s="170" t="str">
        <x:v>REVIEW_REQUIRED</x:v>
      </x:c>
      <x:c r="H114" s="172"/>
      <x:c r="I114" s="173"/>
      <x:c r="J114" s="173"/>
      <x:c r="K114" s="173"/>
      <x:c r="L114" s="173"/>
      <x:c r="M114" s="173"/>
      <x:c r="N114" s="173"/>
      <x:c r="O114" s="173"/>
      <x:c r="P114" s="173"/>
      <x:c r="Q114" s="173"/>
      <x:c r="R114" s="173"/>
      <x:c r="S114" s="173"/>
      <x:c r="T114" s="173"/>
      <x:c r="U114" s="173"/>
      <x:c r="V114" s="173"/>
      <x:c r="W114" s="173"/>
      <x:c r="X114" s="173"/>
      <x:c r="Y114" s="173"/>
      <x:c r="Z114" s="174"/>
      <x:c r="AA114" s="175" t="str">
        <x:f>IF(H114="","BOŞ",IF(AND(H114="READY_FOR_REVIEW",I114&lt;&gt;"",J114&lt;&gt;"",LEN(K114)=64,L114&lt;&gt;"",M114&lt;&gt;"",N114&lt;&gt;"",O114&lt;&gt;"",P114&lt;&gt;"",Q114&lt;&gt;"",R114&lt;&gt;"",S114&lt;&gt;"",T114&lt;&gt;"",U114&lt;&gt;"",V114&lt;&gt;"",W114&lt;&gt;"",X114&lt;&gt;"",W114&lt;&gt;X114,Y114&lt;&gt;""),"İNCELEMEYE_HAZIR","EKSİK"))</x:f>
        <x:v>BOŞ</x:v>
      </x:c>
    </x:row>
    <x:row r="115" ht="38" customHeight="1">
      <x:c r="A115" s="169" t="n">
        <x:v>110</x:v>
      </x:c>
      <x:c r="B115" s="170" t="str">
        <x:v>CY-010</x:v>
      </x:c>
      <x:c r="C115" s="170" t="str">
        <x:v>CY</x:v>
      </x:c>
      <x:c r="D115" s="170" t="str">
        <x:v>YENİ / ÖNERİLEN</x:v>
      </x:c>
      <x:c r="E115" s="170" t="str">
        <x:v>Siber Güvenlik, Tedarik Zinciri ve Adversarial ML — CY</x:v>
      </x:c>
      <x:c r="F115" s="171" t="str">
        <x:v>Adversarial input veya evasion, modelin yüksek güvenli yanlış karar üretmesine karşı sınanıyor mu?</x:v>
      </x:c>
      <x:c r="G115" s="170" t="str">
        <x:v>REVIEW_REQUIRED</x:v>
      </x:c>
      <x:c r="H115" s="172"/>
      <x:c r="I115" s="173"/>
      <x:c r="J115" s="173"/>
      <x:c r="K115" s="173"/>
      <x:c r="L115" s="173"/>
      <x:c r="M115" s="173"/>
      <x:c r="N115" s="173"/>
      <x:c r="O115" s="173"/>
      <x:c r="P115" s="173"/>
      <x:c r="Q115" s="173"/>
      <x:c r="R115" s="173"/>
      <x:c r="S115" s="173"/>
      <x:c r="T115" s="173"/>
      <x:c r="U115" s="173"/>
      <x:c r="V115" s="173"/>
      <x:c r="W115" s="173"/>
      <x:c r="X115" s="173"/>
      <x:c r="Y115" s="173"/>
      <x:c r="Z115" s="174"/>
      <x:c r="AA115" s="175" t="str">
        <x:f>IF(H115="","BOŞ",IF(AND(H115="READY_FOR_REVIEW",I115&lt;&gt;"",J115&lt;&gt;"",LEN(K115)=64,L115&lt;&gt;"",M115&lt;&gt;"",N115&lt;&gt;"",O115&lt;&gt;"",P115&lt;&gt;"",Q115&lt;&gt;"",R115&lt;&gt;"",S115&lt;&gt;"",T115&lt;&gt;"",U115&lt;&gt;"",V115&lt;&gt;"",W115&lt;&gt;"",X115&lt;&gt;"",W115&lt;&gt;X115,Y115&lt;&gt;""),"İNCELEMEYE_HAZIR","EKSİK"))</x:f>
        <x:v>BOŞ</x:v>
      </x:c>
    </x:row>
    <x:row r="116" ht="38" customHeight="1">
      <x:c r="A116" s="169" t="n">
        <x:v>111</x:v>
      </x:c>
      <x:c r="B116" s="170" t="str">
        <x:v>CY-011</x:v>
      </x:c>
      <x:c r="C116" s="170" t="str">
        <x:v>CY</x:v>
      </x:c>
      <x:c r="D116" s="170" t="str">
        <x:v>YENİ / ÖNERİLEN</x:v>
      </x:c>
      <x:c r="E116" s="170" t="str">
        <x:v>Siber Güvenlik, Tedarik Zinciri ve Adversarial ML — CY</x:v>
      </x:c>
      <x:c r="F116" s="171" t="str">
        <x:v>Model extraction veya strateji çalma riski log, API ve erişim düzeyinde izleniyor mu?</x:v>
      </x:c>
      <x:c r="G116" s="170" t="str">
        <x:v>REVIEW_REQUIRED</x:v>
      </x:c>
      <x:c r="H116" s="172"/>
      <x:c r="I116" s="173"/>
      <x:c r="J116" s="173"/>
      <x:c r="K116" s="173"/>
      <x:c r="L116" s="173"/>
      <x:c r="M116" s="173"/>
      <x:c r="N116" s="173"/>
      <x:c r="O116" s="173"/>
      <x:c r="P116" s="173"/>
      <x:c r="Q116" s="173"/>
      <x:c r="R116" s="173"/>
      <x:c r="S116" s="173"/>
      <x:c r="T116" s="173"/>
      <x:c r="U116" s="173"/>
      <x:c r="V116" s="173"/>
      <x:c r="W116" s="173"/>
      <x:c r="X116" s="173"/>
      <x:c r="Y116" s="173"/>
      <x:c r="Z116" s="174"/>
      <x:c r="AA116" s="175" t="str">
        <x:f>IF(H116="","BOŞ",IF(AND(H116="READY_FOR_REVIEW",I116&lt;&gt;"",J116&lt;&gt;"",LEN(K116)=64,L116&lt;&gt;"",M116&lt;&gt;"",N116&lt;&gt;"",O116&lt;&gt;"",P116&lt;&gt;"",Q116&lt;&gt;"",R116&lt;&gt;"",S116&lt;&gt;"",T116&lt;&gt;"",U116&lt;&gt;"",V116&lt;&gt;"",W116&lt;&gt;"",X116&lt;&gt;"",W116&lt;&gt;X116,Y116&lt;&gt;""),"İNCELEMEYE_HAZIR","EKSİK"))</x:f>
        <x:v>BOŞ</x:v>
      </x:c>
    </x:row>
    <x:row r="117" ht="38" customHeight="1">
      <x:c r="A117" s="169" t="n">
        <x:v>112</x:v>
      </x:c>
      <x:c r="B117" s="170" t="str">
        <x:v>CY-012</x:v>
      </x:c>
      <x:c r="C117" s="170" t="str">
        <x:v>CY</x:v>
      </x:c>
      <x:c r="D117" s="170" t="str">
        <x:v>YENİ / ÖNERİLEN</x:v>
      </x:c>
      <x:c r="E117" s="170" t="str">
        <x:v>Siber Güvenlik, Tedarik Zinciri ve Adversarial ML — CY</x:v>
      </x:c>
      <x:c r="F117" s="171" t="str">
        <x:v>Model/feature artefakt hash'i decision snapshot ve certification scope'a bağlı mı?</x:v>
      </x:c>
      <x:c r="G117" s="170" t="str">
        <x:v>REVIEW_REQUIRED</x:v>
      </x:c>
      <x:c r="H117" s="172"/>
      <x:c r="I117" s="173"/>
      <x:c r="J117" s="173"/>
      <x:c r="K117" s="173"/>
      <x:c r="L117" s="173"/>
      <x:c r="M117" s="173"/>
      <x:c r="N117" s="173"/>
      <x:c r="O117" s="173"/>
      <x:c r="P117" s="173"/>
      <x:c r="Q117" s="173"/>
      <x:c r="R117" s="173"/>
      <x:c r="S117" s="173"/>
      <x:c r="T117" s="173"/>
      <x:c r="U117" s="173"/>
      <x:c r="V117" s="173"/>
      <x:c r="W117" s="173"/>
      <x:c r="X117" s="173"/>
      <x:c r="Y117" s="173"/>
      <x:c r="Z117" s="174"/>
      <x:c r="AA117" s="175" t="str">
        <x:f>IF(H117="","BOŞ",IF(AND(H117="READY_FOR_REVIEW",I117&lt;&gt;"",J117&lt;&gt;"",LEN(K117)=64,L117&lt;&gt;"",M117&lt;&gt;"",N117&lt;&gt;"",O117&lt;&gt;"",P117&lt;&gt;"",Q117&lt;&gt;"",R117&lt;&gt;"",S117&lt;&gt;"",T117&lt;&gt;"",U117&lt;&gt;"",V117&lt;&gt;"",W117&lt;&gt;"",X117&lt;&gt;"",W117&lt;&gt;X117,Y117&lt;&gt;""),"İNCELEMEYE_HAZIR","EKSİK"))</x:f>
        <x:v>BOŞ</x:v>
      </x:c>
    </x:row>
    <x:row r="118" ht="38" customHeight="1">
      <x:c r="A118" s="169" t="n">
        <x:v>113</x:v>
      </x:c>
      <x:c r="B118" s="170" t="str">
        <x:v>CY-013</x:v>
      </x:c>
      <x:c r="C118" s="170" t="str">
        <x:v>CY</x:v>
      </x:c>
      <x:c r="D118" s="170" t="str">
        <x:v>YENİ / KOŞULLU</x:v>
      </x:c>
      <x:c r="E118" s="170" t="str">
        <x:v>Siber Güvenlik, Tedarik Zinciri ve Adversarial ML — CY</x:v>
      </x:c>
      <x:c r="F118" s="171" t="str">
        <x:v>Dış haber, belge veya web metni AI bileşenine prompt injection taşıdığında yetki yolu kapalı mı?</x:v>
      </x:c>
      <x:c r="G118" s="170" t="str">
        <x:v>REVIEW_REQUIRED</x:v>
      </x:c>
      <x:c r="H118" s="172"/>
      <x:c r="I118" s="173"/>
      <x:c r="J118" s="173"/>
      <x:c r="K118" s="173"/>
      <x:c r="L118" s="173"/>
      <x:c r="M118" s="173"/>
      <x:c r="N118" s="173"/>
      <x:c r="O118" s="173"/>
      <x:c r="P118" s="173"/>
      <x:c r="Q118" s="173"/>
      <x:c r="R118" s="173"/>
      <x:c r="S118" s="173"/>
      <x:c r="T118" s="173"/>
      <x:c r="U118" s="173"/>
      <x:c r="V118" s="173"/>
      <x:c r="W118" s="173"/>
      <x:c r="X118" s="173"/>
      <x:c r="Y118" s="173"/>
      <x:c r="Z118" s="174"/>
      <x:c r="AA118" s="175" t="str">
        <x:f>IF(H118="","BOŞ",IF(AND(H118="READY_FOR_REVIEW",I118&lt;&gt;"",J118&lt;&gt;"",LEN(K118)=64,L118&lt;&gt;"",M118&lt;&gt;"",N118&lt;&gt;"",O118&lt;&gt;"",P118&lt;&gt;"",Q118&lt;&gt;"",R118&lt;&gt;"",S118&lt;&gt;"",T118&lt;&gt;"",U118&lt;&gt;"",V118&lt;&gt;"",W118&lt;&gt;"",X118&lt;&gt;"",W118&lt;&gt;X118,Y118&lt;&gt;""),"İNCELEMEYE_HAZIR","EKSİK"))</x:f>
        <x:v>BOŞ</x:v>
      </x:c>
    </x:row>
    <x:row r="119" ht="38" customHeight="1">
      <x:c r="A119" s="169" t="n">
        <x:v>114</x:v>
      </x:c>
      <x:c r="B119" s="170" t="str">
        <x:v>CY-014</x:v>
      </x:c>
      <x:c r="C119" s="170" t="str">
        <x:v>CY</x:v>
      </x:c>
      <x:c r="D119" s="170" t="str">
        <x:v>YENİ / KOŞULLU</x:v>
      </x:c>
      <x:c r="E119" s="170" t="str">
        <x:v>Siber Güvenlik, Tedarik Zinciri ve Adversarial ML — CY</x:v>
      </x:c>
      <x:c r="F119" s="171" t="str">
        <x:v>LLM veya AI çıktısı veri, politika, risk, order ve reconciliation gerçeği yerine geçemiyor mu?</x:v>
      </x:c>
      <x:c r="G119" s="170" t="str">
        <x:v>REVIEW_REQUIRED</x:v>
      </x:c>
      <x:c r="H119" s="172"/>
      <x:c r="I119" s="173"/>
      <x:c r="J119" s="173"/>
      <x:c r="K119" s="173"/>
      <x:c r="L119" s="173"/>
      <x:c r="M119" s="173"/>
      <x:c r="N119" s="173"/>
      <x:c r="O119" s="173"/>
      <x:c r="P119" s="173"/>
      <x:c r="Q119" s="173"/>
      <x:c r="R119" s="173"/>
      <x:c r="S119" s="173"/>
      <x:c r="T119" s="173"/>
      <x:c r="U119" s="173"/>
      <x:c r="V119" s="173"/>
      <x:c r="W119" s="173"/>
      <x:c r="X119" s="173"/>
      <x:c r="Y119" s="173"/>
      <x:c r="Z119" s="174"/>
      <x:c r="AA119" s="175" t="str">
        <x:f>IF(H119="","BOŞ",IF(AND(H119="READY_FOR_REVIEW",I119&lt;&gt;"",J119&lt;&gt;"",LEN(K119)=64,L119&lt;&gt;"",M119&lt;&gt;"",N119&lt;&gt;"",O119&lt;&gt;"",P119&lt;&gt;"",Q119&lt;&gt;"",R119&lt;&gt;"",S119&lt;&gt;"",T119&lt;&gt;"",U119&lt;&gt;"",V119&lt;&gt;"",W119&lt;&gt;"",X119&lt;&gt;"",W119&lt;&gt;X119,Y119&lt;&gt;""),"İNCELEMEYE_HAZIR","EKSİK"))</x:f>
        <x:v>BOŞ</x:v>
      </x:c>
    </x:row>
    <x:row r="120" ht="38" customHeight="1">
      <x:c r="A120" s="169" t="n">
        <x:v>115</x:v>
      </x:c>
      <x:c r="B120" s="170" t="str">
        <x:v>CY-015</x:v>
      </x:c>
      <x:c r="C120" s="170" t="str">
        <x:v>CY</x:v>
      </x:c>
      <x:c r="D120" s="170" t="str">
        <x:v>YENİ / KOŞULLU</x:v>
      </x:c>
      <x:c r="E120" s="170" t="str">
        <x:v>Siber Güvenlik, Tedarik Zinciri ve Adversarial ML — CY</x:v>
      </x:c>
      <x:c r="F120" s="171" t="str">
        <x:v>AI context freshness, source provenance ve tool sonucu imza/kayıt zinciriyle doğrulanıyor mu?</x:v>
      </x:c>
      <x:c r="G120" s="170" t="str">
        <x:v>REVIEW_REQUIRED</x:v>
      </x:c>
      <x:c r="H120" s="172"/>
      <x:c r="I120" s="173"/>
      <x:c r="J120" s="173"/>
      <x:c r="K120" s="173"/>
      <x:c r="L120" s="173"/>
      <x:c r="M120" s="173"/>
      <x:c r="N120" s="173"/>
      <x:c r="O120" s="173"/>
      <x:c r="P120" s="173"/>
      <x:c r="Q120" s="173"/>
      <x:c r="R120" s="173"/>
      <x:c r="S120" s="173"/>
      <x:c r="T120" s="173"/>
      <x:c r="U120" s="173"/>
      <x:c r="V120" s="173"/>
      <x:c r="W120" s="173"/>
      <x:c r="X120" s="173"/>
      <x:c r="Y120" s="173"/>
      <x:c r="Z120" s="174"/>
      <x:c r="AA120" s="175" t="str">
        <x:f>IF(H120="","BOŞ",IF(AND(H120="READY_FOR_REVIEW",I120&lt;&gt;"",J120&lt;&gt;"",LEN(K120)=64,L120&lt;&gt;"",M120&lt;&gt;"",N120&lt;&gt;"",O120&lt;&gt;"",P120&lt;&gt;"",Q120&lt;&gt;"",R120&lt;&gt;"",S120&lt;&gt;"",T120&lt;&gt;"",U120&lt;&gt;"",V120&lt;&gt;"",W120&lt;&gt;"",X120&lt;&gt;"",W120&lt;&gt;X120,Y120&lt;&gt;""),"İNCELEMEYE_HAZIR","EKSİK"))</x:f>
        <x:v>BOŞ</x:v>
      </x:c>
    </x:row>
    <x:row r="121" ht="38" customHeight="1">
      <x:c r="A121" s="169" t="n">
        <x:v>116</x:v>
      </x:c>
      <x:c r="B121" s="170" t="str">
        <x:v>CY-016</x:v>
      </x:c>
      <x:c r="C121" s="170" t="str">
        <x:v>CY</x:v>
      </x:c>
      <x:c r="D121" s="170" t="str">
        <x:v>YENİ / ÖNERİLEN</x:v>
      </x:c>
      <x:c r="E121" s="170" t="str">
        <x:v>Siber Güvenlik, Tedarik Zinciri ve Adversarial ML — CY</x:v>
      </x:c>
      <x:c r="F121" s="171" t="str">
        <x:v>Broker callback, webhook ve execution report sahteciliği kimlik doğrulama ve replay protection ile engelleniyor mu?</x:v>
      </x:c>
      <x:c r="G121" s="170" t="str">
        <x:v>REVIEW_REQUIRED</x:v>
      </x:c>
      <x:c r="H121" s="172"/>
      <x:c r="I121" s="173"/>
      <x:c r="J121" s="173"/>
      <x:c r="K121" s="173"/>
      <x:c r="L121" s="173"/>
      <x:c r="M121" s="173"/>
      <x:c r="N121" s="173"/>
      <x:c r="O121" s="173"/>
      <x:c r="P121" s="173"/>
      <x:c r="Q121" s="173"/>
      <x:c r="R121" s="173"/>
      <x:c r="S121" s="173"/>
      <x:c r="T121" s="173"/>
      <x:c r="U121" s="173"/>
      <x:c r="V121" s="173"/>
      <x:c r="W121" s="173"/>
      <x:c r="X121" s="173"/>
      <x:c r="Y121" s="173"/>
      <x:c r="Z121" s="174"/>
      <x:c r="AA121" s="175" t="str">
        <x:f>IF(H121="","BOŞ",IF(AND(H121="READY_FOR_REVIEW",I121&lt;&gt;"",J121&lt;&gt;"",LEN(K121)=64,L121&lt;&gt;"",M121&lt;&gt;"",N121&lt;&gt;"",O121&lt;&gt;"",P121&lt;&gt;"",Q121&lt;&gt;"",R121&lt;&gt;"",S121&lt;&gt;"",T121&lt;&gt;"",U121&lt;&gt;"",V121&lt;&gt;"",W121&lt;&gt;"",X121&lt;&gt;"",W121&lt;&gt;X121,Y121&lt;&gt;""),"İNCELEMEYE_HAZIR","EKSİK"))</x:f>
        <x:v>BOŞ</x:v>
      </x:c>
    </x:row>
    <x:row r="122" ht="38" customHeight="1">
      <x:c r="A122" s="169" t="n">
        <x:v>117</x:v>
      </x:c>
      <x:c r="B122" s="170" t="str">
        <x:v>CY-017</x:v>
      </x:c>
      <x:c r="C122" s="170" t="str">
        <x:v>CY</x:v>
      </x:c>
      <x:c r="D122" s="170" t="str">
        <x:v>YENİ / ÖNERİLEN</x:v>
      </x:c>
      <x:c r="E122" s="170" t="str">
        <x:v>Siber Güvenlik, Tedarik Zinciri ve Adversarial ML — CY</x:v>
      </x:c>
      <x:c r="F122" s="171" t="str">
        <x:v>Zaman kaynağına saldırı veya clock manipulation kritik kararları fail-closed duruma geçiriyor mu?</x:v>
      </x:c>
      <x:c r="G122" s="170" t="str">
        <x:v>REVIEW_REQUIRED</x:v>
      </x:c>
      <x:c r="H122" s="172"/>
      <x:c r="I122" s="173"/>
      <x:c r="J122" s="173"/>
      <x:c r="K122" s="173"/>
      <x:c r="L122" s="173"/>
      <x:c r="M122" s="173"/>
      <x:c r="N122" s="173"/>
      <x:c r="O122" s="173"/>
      <x:c r="P122" s="173"/>
      <x:c r="Q122" s="173"/>
      <x:c r="R122" s="173"/>
      <x:c r="S122" s="173"/>
      <x:c r="T122" s="173"/>
      <x:c r="U122" s="173"/>
      <x:c r="V122" s="173"/>
      <x:c r="W122" s="173"/>
      <x:c r="X122" s="173"/>
      <x:c r="Y122" s="173"/>
      <x:c r="Z122" s="174"/>
      <x:c r="AA122" s="175" t="str">
        <x:f>IF(H122="","BOŞ",IF(AND(H122="READY_FOR_REVIEW",I122&lt;&gt;"",J122&lt;&gt;"",LEN(K122)=64,L122&lt;&gt;"",M122&lt;&gt;"",N122&lt;&gt;"",O122&lt;&gt;"",P122&lt;&gt;"",Q122&lt;&gt;"",R122&lt;&gt;"",S122&lt;&gt;"",T122&lt;&gt;"",U122&lt;&gt;"",V122&lt;&gt;"",W122&lt;&gt;"",X122&lt;&gt;"",W122&lt;&gt;X122,Y122&lt;&gt;""),"İNCELEMEYE_HAZIR","EKSİK"))</x:f>
        <x:v>BOŞ</x:v>
      </x:c>
    </x:row>
    <x:row r="123" ht="38" customHeight="1">
      <x:c r="A123" s="169" t="n">
        <x:v>118</x:v>
      </x:c>
      <x:c r="B123" s="170" t="str">
        <x:v>CY-018</x:v>
      </x:c>
      <x:c r="C123" s="170" t="str">
        <x:v>CY</x:v>
      </x:c>
      <x:c r="D123" s="170" t="str">
        <x:v>YENİ / ÖNERİLEN</x:v>
      </x:c>
      <x:c r="E123" s="170" t="str">
        <x:v>Siber Güvenlik, Tedarik Zinciri ve Adversarial ML — CY</x:v>
      </x:c>
      <x:c r="F123" s="171" t="str">
        <x:v>Audit log, karar defteri ve kanıt deposu silme/değiştirmeye karşı korumalı mı?</x:v>
      </x:c>
      <x:c r="G123" s="170" t="str">
        <x:v>REVIEW_REQUIRED</x:v>
      </x:c>
      <x:c r="H123" s="172"/>
      <x:c r="I123" s="173"/>
      <x:c r="J123" s="173"/>
      <x:c r="K123" s="173"/>
      <x:c r="L123" s="173"/>
      <x:c r="M123" s="173"/>
      <x:c r="N123" s="173"/>
      <x:c r="O123" s="173"/>
      <x:c r="P123" s="173"/>
      <x:c r="Q123" s="173"/>
      <x:c r="R123" s="173"/>
      <x:c r="S123" s="173"/>
      <x:c r="T123" s="173"/>
      <x:c r="U123" s="173"/>
      <x:c r="V123" s="173"/>
      <x:c r="W123" s="173"/>
      <x:c r="X123" s="173"/>
      <x:c r="Y123" s="173"/>
      <x:c r="Z123" s="174"/>
      <x:c r="AA123" s="175" t="str">
        <x:f>IF(H123="","BOŞ",IF(AND(H123="READY_FOR_REVIEW",I123&lt;&gt;"",J123&lt;&gt;"",LEN(K123)=64,L123&lt;&gt;"",M123&lt;&gt;"",N123&lt;&gt;"",O123&lt;&gt;"",P123&lt;&gt;"",Q123&lt;&gt;"",R123&lt;&gt;"",S123&lt;&gt;"",T123&lt;&gt;"",U123&lt;&gt;"",V123&lt;&gt;"",W123&lt;&gt;"",X123&lt;&gt;"",W123&lt;&gt;X123,Y123&lt;&gt;""),"İNCELEMEYE_HAZIR","EKSİK"))</x:f>
        <x:v>BOŞ</x:v>
      </x:c>
    </x:row>
    <x:row r="124" ht="38" customHeight="1">
      <x:c r="A124" s="169" t="n">
        <x:v>119</x:v>
      </x:c>
      <x:c r="B124" s="170" t="str">
        <x:v>CY-019</x:v>
      </x:c>
      <x:c r="C124" s="170" t="str">
        <x:v>CY</x:v>
      </x:c>
      <x:c r="D124" s="170" t="str">
        <x:v>YENİ / ÖNERİLEN</x:v>
      </x:c>
      <x:c r="E124" s="170" t="str">
        <x:v>Siber Güvenlik, Tedarik Zinciri ve Adversarial ML — CY</x:v>
      </x:c>
      <x:c r="F124" s="171" t="str">
        <x:v>Backup'lar ransomware, credential compromise ve sessiz veri bozulmasına karşı bağımsız doğrulanıyor mu?</x:v>
      </x:c>
      <x:c r="G124" s="170" t="str">
        <x:v>REVIEW_REQUIRED</x:v>
      </x:c>
      <x:c r="H124" s="172"/>
      <x:c r="I124" s="173"/>
      <x:c r="J124" s="173"/>
      <x:c r="K124" s="173"/>
      <x:c r="L124" s="173"/>
      <x:c r="M124" s="173"/>
      <x:c r="N124" s="173"/>
      <x:c r="O124" s="173"/>
      <x:c r="P124" s="173"/>
      <x:c r="Q124" s="173"/>
      <x:c r="R124" s="173"/>
      <x:c r="S124" s="173"/>
      <x:c r="T124" s="173"/>
      <x:c r="U124" s="173"/>
      <x:c r="V124" s="173"/>
      <x:c r="W124" s="173"/>
      <x:c r="X124" s="173"/>
      <x:c r="Y124" s="173"/>
      <x:c r="Z124" s="174"/>
      <x:c r="AA124" s="175" t="str">
        <x:f>IF(H124="","BOŞ",IF(AND(H124="READY_FOR_REVIEW",I124&lt;&gt;"",J124&lt;&gt;"",LEN(K124)=64,L124&lt;&gt;"",M124&lt;&gt;"",N124&lt;&gt;"",O124&lt;&gt;"",P124&lt;&gt;"",Q124&lt;&gt;"",R124&lt;&gt;"",S124&lt;&gt;"",T124&lt;&gt;"",U124&lt;&gt;"",V124&lt;&gt;"",W124&lt;&gt;"",X124&lt;&gt;"",W124&lt;&gt;X124,Y124&lt;&gt;""),"İNCELEMEYE_HAZIR","EKSİK"))</x:f>
        <x:v>BOŞ</x:v>
      </x:c>
    </x:row>
    <x:row r="125" ht="38" customHeight="1">
      <x:c r="A125" s="169" t="n">
        <x:v>120</x:v>
      </x:c>
      <x:c r="B125" s="170" t="str">
        <x:v>CY-020</x:v>
      </x:c>
      <x:c r="C125" s="170" t="str">
        <x:v>CY</x:v>
      </x:c>
      <x:c r="D125" s="170" t="str">
        <x:v>YENİ / ÖNERİLEN</x:v>
      </x:c>
      <x:c r="E125" s="170" t="str">
        <x:v>Siber Güvenlik, Tedarik Zinciri ve Adversarial ML — CY</x:v>
      </x:c>
      <x:c r="F125" s="171" t="str">
        <x:v>Güvenlik incident'i hangi scope'ların authorization lease'ini iptal edeceğini deterministik belirliyor mu?</x:v>
      </x:c>
      <x:c r="G125" s="170" t="str">
        <x:v>REVIEW_REQUIRED</x:v>
      </x:c>
      <x:c r="H125" s="172"/>
      <x:c r="I125" s="173"/>
      <x:c r="J125" s="173"/>
      <x:c r="K125" s="173"/>
      <x:c r="L125" s="173"/>
      <x:c r="M125" s="173"/>
      <x:c r="N125" s="173"/>
      <x:c r="O125" s="173"/>
      <x:c r="P125" s="173"/>
      <x:c r="Q125" s="173"/>
      <x:c r="R125" s="173"/>
      <x:c r="S125" s="173"/>
      <x:c r="T125" s="173"/>
      <x:c r="U125" s="173"/>
      <x:c r="V125" s="173"/>
      <x:c r="W125" s="173"/>
      <x:c r="X125" s="173"/>
      <x:c r="Y125" s="173"/>
      <x:c r="Z125" s="174"/>
      <x:c r="AA125" s="175" t="str">
        <x:f>IF(H125="","BOŞ",IF(AND(H125="READY_FOR_REVIEW",I125&lt;&gt;"",J125&lt;&gt;"",LEN(K125)=64,L125&lt;&gt;"",M125&lt;&gt;"",N125&lt;&gt;"",O125&lt;&gt;"",P125&lt;&gt;"",Q125&lt;&gt;"",R125&lt;&gt;"",S125&lt;&gt;"",T125&lt;&gt;"",U125&lt;&gt;"",V125&lt;&gt;"",W125&lt;&gt;"",X125&lt;&gt;"",W125&lt;&gt;X125,Y125&lt;&gt;""),"İNCELEMEYE_HAZIR","EKSİK"))</x:f>
        <x:v>BOŞ</x:v>
      </x:c>
    </x:row>
    <x:row r="126" ht="38" customHeight="1">
      <x:c r="A126" s="169" t="n">
        <x:v>121</x:v>
      </x:c>
      <x:c r="B126" s="170" t="str">
        <x:v>CY-021</x:v>
      </x:c>
      <x:c r="C126" s="170" t="str">
        <x:v>CY</x:v>
      </x:c>
      <x:c r="D126" s="170" t="str">
        <x:v>YENİ / ÖNERİLEN</x:v>
      </x:c>
      <x:c r="E126" s="170" t="str">
        <x:v>Siber Güvenlik, Tedarik Zinciri ve Adversarial ML — CY</x:v>
      </x:c>
      <x:c r="F126" s="171" t="str">
        <x:v>Güvenlik taraması yalnızca source code'u değil container, dependency, config ve infrastructure tanımını kapsıyor mu?</x:v>
      </x:c>
      <x:c r="G126" s="170" t="str">
        <x:v>REVIEW_REQUIRED</x:v>
      </x:c>
      <x:c r="H126" s="172"/>
      <x:c r="I126" s="173"/>
      <x:c r="J126" s="173"/>
      <x:c r="K126" s="173"/>
      <x:c r="L126" s="173"/>
      <x:c r="M126" s="173"/>
      <x:c r="N126" s="173"/>
      <x:c r="O126" s="173"/>
      <x:c r="P126" s="173"/>
      <x:c r="Q126" s="173"/>
      <x:c r="R126" s="173"/>
      <x:c r="S126" s="173"/>
      <x:c r="T126" s="173"/>
      <x:c r="U126" s="173"/>
      <x:c r="V126" s="173"/>
      <x:c r="W126" s="173"/>
      <x:c r="X126" s="173"/>
      <x:c r="Y126" s="173"/>
      <x:c r="Z126" s="174"/>
      <x:c r="AA126" s="175" t="str">
        <x:f>IF(H126="","BOŞ",IF(AND(H126="READY_FOR_REVIEW",I126&lt;&gt;"",J126&lt;&gt;"",LEN(K126)=64,L126&lt;&gt;"",M126&lt;&gt;"",N126&lt;&gt;"",O126&lt;&gt;"",P126&lt;&gt;"",Q126&lt;&gt;"",R126&lt;&gt;"",S126&lt;&gt;"",T126&lt;&gt;"",U126&lt;&gt;"",V126&lt;&gt;"",W126&lt;&gt;"",X126&lt;&gt;"",W126&lt;&gt;X126,Y126&lt;&gt;""),"İNCELEMEYE_HAZIR","EKSİK"))</x:f>
        <x:v>BOŞ</x:v>
      </x:c>
    </x:row>
    <x:row r="127" ht="38" customHeight="1">
      <x:c r="A127" s="169" t="n">
        <x:v>122</x:v>
      </x:c>
      <x:c r="B127" s="170" t="str">
        <x:v>CY-022</x:v>
      </x:c>
      <x:c r="C127" s="170" t="str">
        <x:v>CY</x:v>
      </x:c>
      <x:c r="D127" s="170" t="str">
        <x:v>YENİ / ÖNERİLEN</x:v>
      </x:c>
      <x:c r="E127" s="170" t="str">
        <x:v>Siber Güvenlik, Tedarik Zinciri ve Adversarial ML — CY</x:v>
      </x:c>
      <x:c r="F127" s="171" t="str">
        <x:v>Kritik güvenlik kontrolünün kendisi bypass, race condition ve fail-open davranışına karşı test ediliyor mu?</x:v>
      </x:c>
      <x:c r="G127" s="170" t="str">
        <x:v>REVIEW_REQUIRED</x:v>
      </x:c>
      <x:c r="H127" s="172"/>
      <x:c r="I127" s="173"/>
      <x:c r="J127" s="173"/>
      <x:c r="K127" s="173"/>
      <x:c r="L127" s="173"/>
      <x:c r="M127" s="173"/>
      <x:c r="N127" s="173"/>
      <x:c r="O127" s="173"/>
      <x:c r="P127" s="173"/>
      <x:c r="Q127" s="173"/>
      <x:c r="R127" s="173"/>
      <x:c r="S127" s="173"/>
      <x:c r="T127" s="173"/>
      <x:c r="U127" s="173"/>
      <x:c r="V127" s="173"/>
      <x:c r="W127" s="173"/>
      <x:c r="X127" s="173"/>
      <x:c r="Y127" s="173"/>
      <x:c r="Z127" s="174"/>
      <x:c r="AA127" s="175" t="str">
        <x:f>IF(H127="","BOŞ",IF(AND(H127="READY_FOR_REVIEW",I127&lt;&gt;"",J127&lt;&gt;"",LEN(K127)=64,L127&lt;&gt;"",M127&lt;&gt;"",N127&lt;&gt;"",O127&lt;&gt;"",P127&lt;&gt;"",Q127&lt;&gt;"",R127&lt;&gt;"",S127&lt;&gt;"",T127&lt;&gt;"",U127&lt;&gt;"",V127&lt;&gt;"",W127&lt;&gt;"",X127&lt;&gt;"",W127&lt;&gt;X127,Y127&lt;&gt;""),"İNCELEMEYE_HAZIR","EKSİK"))</x:f>
        <x:v>BOŞ</x:v>
      </x:c>
    </x:row>
    <x:row r="128" ht="38" customHeight="1">
      <x:c r="A128" s="169" t="n">
        <x:v>123</x:v>
      </x:c>
      <x:c r="B128" s="170" t="str">
        <x:v>CY-023</x:v>
      </x:c>
      <x:c r="C128" s="170" t="str">
        <x:v>CY</x:v>
      </x:c>
      <x:c r="D128" s="170" t="str">
        <x:v>YENİ / ÖNERİLEN</x:v>
      </x:c>
      <x:c r="E128" s="170" t="str">
        <x:v>Siber Güvenlik, Tedarik Zinciri ve Adversarial ML — CY</x:v>
      </x:c>
      <x:c r="F128" s="171" t="str">
        <x:v>Third-party model, veri, paket veya broker SDK güncellemesi doğrulanmadan production'a giremiyor mu?</x:v>
      </x:c>
      <x:c r="G128" s="170" t="str">
        <x:v>REVIEW_REQUIRED</x:v>
      </x:c>
      <x:c r="H128" s="172"/>
      <x:c r="I128" s="173"/>
      <x:c r="J128" s="173"/>
      <x:c r="K128" s="173"/>
      <x:c r="L128" s="173"/>
      <x:c r="M128" s="173"/>
      <x:c r="N128" s="173"/>
      <x:c r="O128" s="173"/>
      <x:c r="P128" s="173"/>
      <x:c r="Q128" s="173"/>
      <x:c r="R128" s="173"/>
      <x:c r="S128" s="173"/>
      <x:c r="T128" s="173"/>
      <x:c r="U128" s="173"/>
      <x:c r="V128" s="173"/>
      <x:c r="W128" s="173"/>
      <x:c r="X128" s="173"/>
      <x:c r="Y128" s="173"/>
      <x:c r="Z128" s="174"/>
      <x:c r="AA128" s="175" t="str">
        <x:f>IF(H128="","BOŞ",IF(AND(H128="READY_FOR_REVIEW",I128&lt;&gt;"",J128&lt;&gt;"",LEN(K128)=64,L128&lt;&gt;"",M128&lt;&gt;"",N128&lt;&gt;"",O128&lt;&gt;"",P128&lt;&gt;"",Q128&lt;&gt;"",R128&lt;&gt;"",S128&lt;&gt;"",T128&lt;&gt;"",U128&lt;&gt;"",V128&lt;&gt;"",W128&lt;&gt;"",X128&lt;&gt;"",W128&lt;&gt;X128,Y128&lt;&gt;""),"İNCELEMEYE_HAZIR","EKSİK"))</x:f>
        <x:v>BOŞ</x:v>
      </x:c>
    </x:row>
    <x:row r="129" ht="38" customHeight="1">
      <x:c r="A129" s="169" t="n">
        <x:v>124</x:v>
      </x:c>
      <x:c r="B129" s="170" t="str">
        <x:v>CY-024</x:v>
      </x:c>
      <x:c r="C129" s="170" t="str">
        <x:v>CY</x:v>
      </x:c>
      <x:c r="D129" s="170" t="str">
        <x:v>YENİ / ÖNERİLEN</x:v>
      </x:c>
      <x:c r="E129" s="170" t="str">
        <x:v>Siber Güvenlik, Tedarik Zinciri ve Adversarial ML — CY</x:v>
      </x:c>
      <x:c r="F129" s="171" t="str">
        <x:v>Incident recovery sonrasında tüm secret, artefakt ve state doğrulanmadan trading yetkisi geri gelmiyor mu?</x:v>
      </x:c>
      <x:c r="G129" s="170" t="str">
        <x:v>REVIEW_REQUIRED</x:v>
      </x:c>
      <x:c r="H129" s="172"/>
      <x:c r="I129" s="173"/>
      <x:c r="J129" s="173"/>
      <x:c r="K129" s="173"/>
      <x:c r="L129" s="173"/>
      <x:c r="M129" s="173"/>
      <x:c r="N129" s="173"/>
      <x:c r="O129" s="173"/>
      <x:c r="P129" s="173"/>
      <x:c r="Q129" s="173"/>
      <x:c r="R129" s="173"/>
      <x:c r="S129" s="173"/>
      <x:c r="T129" s="173"/>
      <x:c r="U129" s="173"/>
      <x:c r="V129" s="173"/>
      <x:c r="W129" s="173"/>
      <x:c r="X129" s="173"/>
      <x:c r="Y129" s="173"/>
      <x:c r="Z129" s="174"/>
      <x:c r="AA129" s="175" t="str">
        <x:f>IF(H129="","BOŞ",IF(AND(H129="READY_FOR_REVIEW",I129&lt;&gt;"",J129&lt;&gt;"",LEN(K129)=64,L129&lt;&gt;"",M129&lt;&gt;"",N129&lt;&gt;"",O129&lt;&gt;"",P129&lt;&gt;"",Q129&lt;&gt;"",R129&lt;&gt;"",S129&lt;&gt;"",T129&lt;&gt;"",U129&lt;&gt;"",V129&lt;&gt;"",W129&lt;&gt;"",X129&lt;&gt;"",W129&lt;&gt;X129,Y129&lt;&gt;""),"İNCELEMEYE_HAZIR","EKSİK"))</x:f>
        <x:v>BOŞ</x:v>
      </x:c>
    </x:row>
    <x:row r="130" ht="38" customHeight="1">
      <x:c r="A130" s="169" t="n">
        <x:v>125</x:v>
      </x:c>
      <x:c r="B130" s="170" t="str">
        <x:v>CY-025</x:v>
      </x:c>
      <x:c r="C130" s="170" t="str">
        <x:v>CY</x:v>
      </x:c>
      <x:c r="D130" s="170" t="str">
        <x:v>YENİ / ÖNERİLEN</x:v>
      </x:c>
      <x:c r="E130" s="170" t="str">
        <x:v>Siber Güvenlik, Tedarik Zinciri ve Adversarial ML — CY</x:v>
      </x:c>
      <x:c r="F130" s="171" t="str">
        <x:v>Adversarial ML tehdit modeli saldırganın amacı, bilgisi, erişimi, yaşam-döngüsü aşaması ve beklenen etkisini açıkça kaydediyor mu?</x:v>
      </x:c>
      <x:c r="G130" s="170" t="str">
        <x:v>REVIEW_REQUIRED</x:v>
      </x:c>
      <x:c r="H130" s="172"/>
      <x:c r="I130" s="173"/>
      <x:c r="J130" s="173"/>
      <x:c r="K130" s="173"/>
      <x:c r="L130" s="173"/>
      <x:c r="M130" s="173"/>
      <x:c r="N130" s="173"/>
      <x:c r="O130" s="173"/>
      <x:c r="P130" s="173"/>
      <x:c r="Q130" s="173"/>
      <x:c r="R130" s="173"/>
      <x:c r="S130" s="173"/>
      <x:c r="T130" s="173"/>
      <x:c r="U130" s="173"/>
      <x:c r="V130" s="173"/>
      <x:c r="W130" s="173"/>
      <x:c r="X130" s="173"/>
      <x:c r="Y130" s="173"/>
      <x:c r="Z130" s="174"/>
      <x:c r="AA130" s="175" t="str">
        <x:f>IF(H130="","BOŞ",IF(AND(H130="READY_FOR_REVIEW",I130&lt;&gt;"",J130&lt;&gt;"",LEN(K130)=64,L130&lt;&gt;"",M130&lt;&gt;"",N130&lt;&gt;"",O130&lt;&gt;"",P130&lt;&gt;"",Q130&lt;&gt;"",R130&lt;&gt;"",S130&lt;&gt;"",T130&lt;&gt;"",U130&lt;&gt;"",V130&lt;&gt;"",W130&lt;&gt;"",X130&lt;&gt;"",W130&lt;&gt;X130,Y130&lt;&gt;""),"İNCELEMEYE_HAZIR","EKSİK"))</x:f>
        <x:v>BOŞ</x:v>
      </x:c>
    </x:row>
    <x:row r="131" ht="38" customHeight="1">
      <x:c r="A131" s="169" t="n">
        <x:v>126</x:v>
      </x:c>
      <x:c r="B131" s="170" t="str">
        <x:v>OR-001</x:v>
      </x:c>
      <x:c r="C131" s="170" t="str">
        <x:v>OR</x:v>
      </x:c>
      <x:c r="D131" s="170" t="str">
        <x:v>YENİ / ÖNERİLEN</x:v>
      </x:c>
      <x:c r="E131" s="170" t="str">
        <x:v>Operasyonel Dayanıklılık ve İnsan Faktörleri — OR</x:v>
      </x:c>
      <x:c r="F131" s="171" t="str">
        <x:v>Kritik işlevler ve bunların kabul edilebilir kesinti toleransları politika ile tanımlı mı?</x:v>
      </x:c>
      <x:c r="G131" s="170" t="str">
        <x:v>REVIEW_REQUIRED</x:v>
      </x:c>
      <x:c r="H131" s="172"/>
      <x:c r="I131" s="173"/>
      <x:c r="J131" s="173"/>
      <x:c r="K131" s="173"/>
      <x:c r="L131" s="173"/>
      <x:c r="M131" s="173"/>
      <x:c r="N131" s="173"/>
      <x:c r="O131" s="173"/>
      <x:c r="P131" s="173"/>
      <x:c r="Q131" s="173"/>
      <x:c r="R131" s="173"/>
      <x:c r="S131" s="173"/>
      <x:c r="T131" s="173"/>
      <x:c r="U131" s="173"/>
      <x:c r="V131" s="173"/>
      <x:c r="W131" s="173"/>
      <x:c r="X131" s="173"/>
      <x:c r="Y131" s="173"/>
      <x:c r="Z131" s="174"/>
      <x:c r="AA131" s="175" t="str">
        <x:f>IF(H131="","BOŞ",IF(AND(H131="READY_FOR_REVIEW",I131&lt;&gt;"",J131&lt;&gt;"",LEN(K131)=64,L131&lt;&gt;"",M131&lt;&gt;"",N131&lt;&gt;"",O131&lt;&gt;"",P131&lt;&gt;"",Q131&lt;&gt;"",R131&lt;&gt;"",S131&lt;&gt;"",T131&lt;&gt;"",U131&lt;&gt;"",V131&lt;&gt;"",W131&lt;&gt;"",X131&lt;&gt;"",W131&lt;&gt;X131,Y131&lt;&gt;""),"İNCELEMEYE_HAZIR","EKSİK"))</x:f>
        <x:v>BOŞ</x:v>
      </x:c>
    </x:row>
    <x:row r="132" ht="38" customHeight="1">
      <x:c r="A132" s="169" t="n">
        <x:v>127</x:v>
      </x:c>
      <x:c r="B132" s="170" t="str">
        <x:v>OR-002</x:v>
      </x:c>
      <x:c r="C132" s="170" t="str">
        <x:v>OR</x:v>
      </x:c>
      <x:c r="D132" s="170" t="str">
        <x:v>YENİ / ÖNERİLEN</x:v>
      </x:c>
      <x:c r="E132" s="170" t="str">
        <x:v>Operasyonel Dayanıklılık ve İnsan Faktörleri — OR</x:v>
      </x:c>
      <x:c r="F132" s="171" t="str">
        <x:v>Her kritik işlev için RTO/RPO ve veri kaybı etkisi bağlanmış mı?</x:v>
      </x:c>
      <x:c r="G132" s="170" t="str">
        <x:v>REVIEW_REQUIRED</x:v>
      </x:c>
      <x:c r="H132" s="172"/>
      <x:c r="I132" s="173"/>
      <x:c r="J132" s="173"/>
      <x:c r="K132" s="173"/>
      <x:c r="L132" s="173"/>
      <x:c r="M132" s="173"/>
      <x:c r="N132" s="173"/>
      <x:c r="O132" s="173"/>
      <x:c r="P132" s="173"/>
      <x:c r="Q132" s="173"/>
      <x:c r="R132" s="173"/>
      <x:c r="S132" s="173"/>
      <x:c r="T132" s="173"/>
      <x:c r="U132" s="173"/>
      <x:c r="V132" s="173"/>
      <x:c r="W132" s="173"/>
      <x:c r="X132" s="173"/>
      <x:c r="Y132" s="173"/>
      <x:c r="Z132" s="174"/>
      <x:c r="AA132" s="175" t="str">
        <x:f>IF(H132="","BOŞ",IF(AND(H132="READY_FOR_REVIEW",I132&lt;&gt;"",J132&lt;&gt;"",LEN(K132)=64,L132&lt;&gt;"",M132&lt;&gt;"",N132&lt;&gt;"",O132&lt;&gt;"",P132&lt;&gt;"",Q132&lt;&gt;"",R132&lt;&gt;"",S132&lt;&gt;"",T132&lt;&gt;"",U132&lt;&gt;"",V132&lt;&gt;"",W132&lt;&gt;"",X132&lt;&gt;"",W132&lt;&gt;X132,Y132&lt;&gt;""),"İNCELEMEYE_HAZIR","EKSİK"))</x:f>
        <x:v>BOŞ</x:v>
      </x:c>
    </x:row>
    <x:row r="133" ht="38" customHeight="1">
      <x:c r="A133" s="169" t="n">
        <x:v>128</x:v>
      </x:c>
      <x:c r="B133" s="170" t="str">
        <x:v>OR-003</x:v>
      </x:c>
      <x:c r="C133" s="170" t="str">
        <x:v>OR</x:v>
      </x:c>
      <x:c r="D133" s="170" t="str">
        <x:v>YENİ / ÖNERİLEN</x:v>
      </x:c>
      <x:c r="E133" s="170" t="str">
        <x:v>Operasyonel Dayanıklılık ve İnsan Faktörleri — OR</x:v>
      </x:c>
      <x:c r="F133" s="171" t="str">
        <x:v>Tek kişi, tek cihaz, tek ISP, tek bölge veya tek cloud bağımlılığı haritalanmış mı?</x:v>
      </x:c>
      <x:c r="G133" s="170" t="str">
        <x:v>REVIEW_REQUIRED</x:v>
      </x:c>
      <x:c r="H133" s="172"/>
      <x:c r="I133" s="173"/>
      <x:c r="J133" s="173"/>
      <x:c r="K133" s="173"/>
      <x:c r="L133" s="173"/>
      <x:c r="M133" s="173"/>
      <x:c r="N133" s="173"/>
      <x:c r="O133" s="173"/>
      <x:c r="P133" s="173"/>
      <x:c r="Q133" s="173"/>
      <x:c r="R133" s="173"/>
      <x:c r="S133" s="173"/>
      <x:c r="T133" s="173"/>
      <x:c r="U133" s="173"/>
      <x:c r="V133" s="173"/>
      <x:c r="W133" s="173"/>
      <x:c r="X133" s="173"/>
      <x:c r="Y133" s="173"/>
      <x:c r="Z133" s="174"/>
      <x:c r="AA133" s="175" t="str">
        <x:f>IF(H133="","BOŞ",IF(AND(H133="READY_FOR_REVIEW",I133&lt;&gt;"",J133&lt;&gt;"",LEN(K133)=64,L133&lt;&gt;"",M133&lt;&gt;"",N133&lt;&gt;"",O133&lt;&gt;"",P133&lt;&gt;"",Q133&lt;&gt;"",R133&lt;&gt;"",S133&lt;&gt;"",T133&lt;&gt;"",U133&lt;&gt;"",V133&lt;&gt;"",W133&lt;&gt;"",X133&lt;&gt;"",W133&lt;&gt;X133,Y133&lt;&gt;""),"İNCELEMEYE_HAZIR","EKSİK"))</x:f>
        <x:v>BOŞ</x:v>
      </x:c>
    </x:row>
    <x:row r="134" ht="38" customHeight="1">
      <x:c r="A134" s="169" t="n">
        <x:v>129</x:v>
      </x:c>
      <x:c r="B134" s="170" t="str">
        <x:v>OR-004</x:v>
      </x:c>
      <x:c r="C134" s="170" t="str">
        <x:v>OR</x:v>
      </x:c>
      <x:c r="D134" s="170" t="str">
        <x:v>YENİ / ÖNERİLEN</x:v>
      </x:c>
      <x:c r="E134" s="170" t="str">
        <x:v>Operasyonel Dayanıklılık ve İnsan Faktörleri — OR</x:v>
      </x:c>
      <x:c r="F134" s="171" t="str">
        <x:v>Birincil ve yedek sistemlerin aynı güç, ağ, DNS, kimlik veya vendor arızasına bağlı olmadığı kanıtlanıyor mu?</x:v>
      </x:c>
      <x:c r="G134" s="170" t="str">
        <x:v>REVIEW_REQUIRED</x:v>
      </x:c>
      <x:c r="H134" s="172"/>
      <x:c r="I134" s="173"/>
      <x:c r="J134" s="173"/>
      <x:c r="K134" s="173"/>
      <x:c r="L134" s="173"/>
      <x:c r="M134" s="173"/>
      <x:c r="N134" s="173"/>
      <x:c r="O134" s="173"/>
      <x:c r="P134" s="173"/>
      <x:c r="Q134" s="173"/>
      <x:c r="R134" s="173"/>
      <x:c r="S134" s="173"/>
      <x:c r="T134" s="173"/>
      <x:c r="U134" s="173"/>
      <x:c r="V134" s="173"/>
      <x:c r="W134" s="173"/>
      <x:c r="X134" s="173"/>
      <x:c r="Y134" s="173"/>
      <x:c r="Z134" s="174"/>
      <x:c r="AA134" s="175" t="str">
        <x:f>IF(H134="","BOŞ",IF(AND(H134="READY_FOR_REVIEW",I134&lt;&gt;"",J134&lt;&gt;"",LEN(K134)=64,L134&lt;&gt;"",M134&lt;&gt;"",N134&lt;&gt;"",O134&lt;&gt;"",P134&lt;&gt;"",Q134&lt;&gt;"",R134&lt;&gt;"",S134&lt;&gt;"",T134&lt;&gt;"",U134&lt;&gt;"",V134&lt;&gt;"",W134&lt;&gt;"",X134&lt;&gt;"",W134&lt;&gt;X134,Y134&lt;&gt;""),"İNCELEMEYE_HAZIR","EKSİK"))</x:f>
        <x:v>BOŞ</x:v>
      </x:c>
    </x:row>
    <x:row r="135" ht="38" customHeight="1">
      <x:c r="A135" s="169" t="n">
        <x:v>130</x:v>
      </x:c>
      <x:c r="B135" s="170" t="str">
        <x:v>OR-005</x:v>
      </x:c>
      <x:c r="C135" s="170" t="str">
        <x:v>OR</x:v>
      </x:c>
      <x:c r="D135" s="170" t="str">
        <x:v>YENİ / ÖNERİLEN</x:v>
      </x:c>
      <x:c r="E135" s="170" t="str">
        <x:v>Operasyonel Dayanıklılık ve İnsan Faktörleri — OR</x:v>
      </x:c>
      <x:c r="F135" s="171" t="str">
        <x:v>Runbook'lar son incident ve sistem sürümüyle uyumlu ve gerçek tatbikatta çalıştırılmış mı?</x:v>
      </x:c>
      <x:c r="G135" s="170" t="str">
        <x:v>REVIEW_REQUIRED</x:v>
      </x:c>
      <x:c r="H135" s="172"/>
      <x:c r="I135" s="173"/>
      <x:c r="J135" s="173"/>
      <x:c r="K135" s="173"/>
      <x:c r="L135" s="173"/>
      <x:c r="M135" s="173"/>
      <x:c r="N135" s="173"/>
      <x:c r="O135" s="173"/>
      <x:c r="P135" s="173"/>
      <x:c r="Q135" s="173"/>
      <x:c r="R135" s="173"/>
      <x:c r="S135" s="173"/>
      <x:c r="T135" s="173"/>
      <x:c r="U135" s="173"/>
      <x:c r="V135" s="173"/>
      <x:c r="W135" s="173"/>
      <x:c r="X135" s="173"/>
      <x:c r="Y135" s="173"/>
      <x:c r="Z135" s="174"/>
      <x:c r="AA135" s="175" t="str">
        <x:f>IF(H135="","BOŞ",IF(AND(H135="READY_FOR_REVIEW",I135&lt;&gt;"",J135&lt;&gt;"",LEN(K135)=64,L135&lt;&gt;"",M135&lt;&gt;"",N135&lt;&gt;"",O135&lt;&gt;"",P135&lt;&gt;"",Q135&lt;&gt;"",R135&lt;&gt;"",S135&lt;&gt;"",T135&lt;&gt;"",U135&lt;&gt;"",V135&lt;&gt;"",W135&lt;&gt;"",X135&lt;&gt;"",W135&lt;&gt;X135,Y135&lt;&gt;""),"İNCELEMEYE_HAZIR","EKSİK"))</x:f>
        <x:v>BOŞ</x:v>
      </x:c>
    </x:row>
    <x:row r="136" ht="38" customHeight="1">
      <x:c r="A136" s="169" t="n">
        <x:v>131</x:v>
      </x:c>
      <x:c r="B136" s="170" t="str">
        <x:v>OR-006</x:v>
      </x:c>
      <x:c r="C136" s="170" t="str">
        <x:v>OR</x:v>
      </x:c>
      <x:c r="D136" s="170" t="str">
        <x:v>YENİ / ÖNERİLEN</x:v>
      </x:c>
      <x:c r="E136" s="170" t="str">
        <x:v>Operasyonel Dayanıklılık ve İnsan Faktörleri — OR</x:v>
      </x:c>
      <x:c r="F136" s="171" t="str">
        <x:v>On-call ve eskalasyon zinciri ilgili piyasa saatlerinde erişilebilir ve yetkin mi?</x:v>
      </x:c>
      <x:c r="G136" s="170" t="str">
        <x:v>REVIEW_REQUIRED</x:v>
      </x:c>
      <x:c r="H136" s="172"/>
      <x:c r="I136" s="173"/>
      <x:c r="J136" s="173"/>
      <x:c r="K136" s="173"/>
      <x:c r="L136" s="173"/>
      <x:c r="M136" s="173"/>
      <x:c r="N136" s="173"/>
      <x:c r="O136" s="173"/>
      <x:c r="P136" s="173"/>
      <x:c r="Q136" s="173"/>
      <x:c r="R136" s="173"/>
      <x:c r="S136" s="173"/>
      <x:c r="T136" s="173"/>
      <x:c r="U136" s="173"/>
      <x:c r="V136" s="173"/>
      <x:c r="W136" s="173"/>
      <x:c r="X136" s="173"/>
      <x:c r="Y136" s="173"/>
      <x:c r="Z136" s="174"/>
      <x:c r="AA136" s="175" t="str">
        <x:f>IF(H136="","BOŞ",IF(AND(H136="READY_FOR_REVIEW",I136&lt;&gt;"",J136&lt;&gt;"",LEN(K136)=64,L136&lt;&gt;"",M136&lt;&gt;"",N136&lt;&gt;"",O136&lt;&gt;"",P136&lt;&gt;"",Q136&lt;&gt;"",R136&lt;&gt;"",S136&lt;&gt;"",T136&lt;&gt;"",U136&lt;&gt;"",V136&lt;&gt;"",W136&lt;&gt;"",X136&lt;&gt;"",W136&lt;&gt;X136,Y136&lt;&gt;""),"İNCELEMEYE_HAZIR","EKSİK"))</x:f>
        <x:v>BOŞ</x:v>
      </x:c>
    </x:row>
    <x:row r="137" ht="38" customHeight="1">
      <x:c r="A137" s="169" t="n">
        <x:v>132</x:v>
      </x:c>
      <x:c r="B137" s="170" t="str">
        <x:v>OR-007</x:v>
      </x:c>
      <x:c r="C137" s="170" t="str">
        <x:v>OR</x:v>
      </x:c>
      <x:c r="D137" s="170" t="str">
        <x:v>YENİ / ÖNERİLEN</x:v>
      </x:c>
      <x:c r="E137" s="170" t="str">
        <x:v>Operasyonel Dayanıklılık ve İnsan Faktörleri — OR</x:v>
      </x:c>
      <x:c r="F137" s="171" t="str">
        <x:v>Startup, shutdown, restart ve failover state machine'leri açık emir ve pozisyonlarla birlikte test edilmiş mi?</x:v>
      </x:c>
      <x:c r="G137" s="170" t="str">
        <x:v>REVIEW_REQUIRED</x:v>
      </x:c>
      <x:c r="H137" s="172"/>
      <x:c r="I137" s="173"/>
      <x:c r="J137" s="173"/>
      <x:c r="K137" s="173"/>
      <x:c r="L137" s="173"/>
      <x:c r="M137" s="173"/>
      <x:c r="N137" s="173"/>
      <x:c r="O137" s="173"/>
      <x:c r="P137" s="173"/>
      <x:c r="Q137" s="173"/>
      <x:c r="R137" s="173"/>
      <x:c r="S137" s="173"/>
      <x:c r="T137" s="173"/>
      <x:c r="U137" s="173"/>
      <x:c r="V137" s="173"/>
      <x:c r="W137" s="173"/>
      <x:c r="X137" s="173"/>
      <x:c r="Y137" s="173"/>
      <x:c r="Z137" s="174"/>
      <x:c r="AA137" s="175" t="str">
        <x:f>IF(H137="","BOŞ",IF(AND(H137="READY_FOR_REVIEW",I137&lt;&gt;"",J137&lt;&gt;"",LEN(K137)=64,L137&lt;&gt;"",M137&lt;&gt;"",N137&lt;&gt;"",O137&lt;&gt;"",P137&lt;&gt;"",Q137&lt;&gt;"",R137&lt;&gt;"",S137&lt;&gt;"",T137&lt;&gt;"",U137&lt;&gt;"",V137&lt;&gt;"",W137&lt;&gt;"",X137&lt;&gt;"",W137&lt;&gt;X137,Y137&lt;&gt;""),"İNCELEMEYE_HAZIR","EKSİK"))</x:f>
        <x:v>BOŞ</x:v>
      </x:c>
    </x:row>
    <x:row r="138" ht="38" customHeight="1">
      <x:c r="A138" s="169" t="n">
        <x:v>133</x:v>
      </x:c>
      <x:c r="B138" s="170" t="str">
        <x:v>OR-008</x:v>
      </x:c>
      <x:c r="C138" s="170" t="str">
        <x:v>OR</x:v>
      </x:c>
      <x:c r="D138" s="170" t="str">
        <x:v>YENİ / ÖNERİLEN</x:v>
      </x:c>
      <x:c r="E138" s="170" t="str">
        <x:v>Operasyonel Dayanıklılık ve İnsan Faktörleri — OR</x:v>
      </x:c>
      <x:c r="F138" s="171" t="str">
        <x:v>Disk, bellek, CPU, ağ, connection pool ve event backlog tükenmesi güvenli degradasyona yol açıyor mu?</x:v>
      </x:c>
      <x:c r="G138" s="170" t="str">
        <x:v>REVIEW_REQUIRED</x:v>
      </x:c>
      <x:c r="H138" s="172"/>
      <x:c r="I138" s="173"/>
      <x:c r="J138" s="173"/>
      <x:c r="K138" s="173"/>
      <x:c r="L138" s="173"/>
      <x:c r="M138" s="173"/>
      <x:c r="N138" s="173"/>
      <x:c r="O138" s="173"/>
      <x:c r="P138" s="173"/>
      <x:c r="Q138" s="173"/>
      <x:c r="R138" s="173"/>
      <x:c r="S138" s="173"/>
      <x:c r="T138" s="173"/>
      <x:c r="U138" s="173"/>
      <x:c r="V138" s="173"/>
      <x:c r="W138" s="173"/>
      <x:c r="X138" s="173"/>
      <x:c r="Y138" s="173"/>
      <x:c r="Z138" s="174"/>
      <x:c r="AA138" s="175" t="str">
        <x:f>IF(H138="","BOŞ",IF(AND(H138="READY_FOR_REVIEW",I138&lt;&gt;"",J138&lt;&gt;"",LEN(K138)=64,L138&lt;&gt;"",M138&lt;&gt;"",N138&lt;&gt;"",O138&lt;&gt;"",P138&lt;&gt;"",Q138&lt;&gt;"",R138&lt;&gt;"",S138&lt;&gt;"",T138&lt;&gt;"",U138&lt;&gt;"",V138&lt;&gt;"",W138&lt;&gt;"",X138&lt;&gt;"",W138&lt;&gt;X138,Y138&lt;&gt;""),"İNCELEMEYE_HAZIR","EKSİK"))</x:f>
        <x:v>BOŞ</x:v>
      </x:c>
    </x:row>
    <x:row r="139" ht="38" customHeight="1">
      <x:c r="A139" s="169" t="n">
        <x:v>134</x:v>
      </x:c>
      <x:c r="B139" s="170" t="str">
        <x:v>OR-009</x:v>
      </x:c>
      <x:c r="C139" s="170" t="str">
        <x:v>OR</x:v>
      </x:c>
      <x:c r="D139" s="170" t="str">
        <x:v>YENİ / ÖNERİLEN</x:v>
      </x:c>
      <x:c r="E139" s="170" t="str">
        <x:v>Operasyonel Dayanıklılık ve İnsan Faktörleri — OR</x:v>
      </x:c>
      <x:c r="F139" s="171" t="str">
        <x:v>Backpressure altında kritik risk/reconciliation olayları düşük öncelikli telemetry tarafından engellenmiyor mu?</x:v>
      </x:c>
      <x:c r="G139" s="170" t="str">
        <x:v>REVIEW_REQUIRED</x:v>
      </x:c>
      <x:c r="H139" s="172"/>
      <x:c r="I139" s="173"/>
      <x:c r="J139" s="173"/>
      <x:c r="K139" s="173"/>
      <x:c r="L139" s="173"/>
      <x:c r="M139" s="173"/>
      <x:c r="N139" s="173"/>
      <x:c r="O139" s="173"/>
      <x:c r="P139" s="173"/>
      <x:c r="Q139" s="173"/>
      <x:c r="R139" s="173"/>
      <x:c r="S139" s="173"/>
      <x:c r="T139" s="173"/>
      <x:c r="U139" s="173"/>
      <x:c r="V139" s="173"/>
      <x:c r="W139" s="173"/>
      <x:c r="X139" s="173"/>
      <x:c r="Y139" s="173"/>
      <x:c r="Z139" s="174"/>
      <x:c r="AA139" s="175" t="str">
        <x:f>IF(H139="","BOŞ",IF(AND(H139="READY_FOR_REVIEW",I139&lt;&gt;"",J139&lt;&gt;"",LEN(K139)=64,L139&lt;&gt;"",M139&lt;&gt;"",N139&lt;&gt;"",O139&lt;&gt;"",P139&lt;&gt;"",Q139&lt;&gt;"",R139&lt;&gt;"",S139&lt;&gt;"",T139&lt;&gt;"",U139&lt;&gt;"",V139&lt;&gt;"",W139&lt;&gt;"",X139&lt;&gt;"",W139&lt;&gt;X139,Y139&lt;&gt;""),"İNCELEMEYE_HAZIR","EKSİK"))</x:f>
        <x:v>BOŞ</x:v>
      </x:c>
    </x:row>
    <x:row r="140" ht="38" customHeight="1">
      <x:c r="A140" s="169" t="n">
        <x:v>135</x:v>
      </x:c>
      <x:c r="B140" s="170" t="str">
        <x:v>OR-010</x:v>
      </x:c>
      <x:c r="C140" s="170" t="str">
        <x:v>OR</x:v>
      </x:c>
      <x:c r="D140" s="170" t="str">
        <x:v>YENİ / ÖNERİLEN</x:v>
      </x:c>
      <x:c r="E140" s="170" t="str">
        <x:v>Operasyonel Dayanıklılık ve İnsan Faktörleri — OR</x:v>
      </x:c>
      <x:c r="F140" s="171" t="str">
        <x:v>Daylight-saving, leap second, takvim ve tatil değişiklikleri MarketProfile bazında test edilmiş mi?</x:v>
      </x:c>
      <x:c r="G140" s="170" t="str">
        <x:v>REVIEW_REQUIRED</x:v>
      </x:c>
      <x:c r="H140" s="172"/>
      <x:c r="I140" s="173"/>
      <x:c r="J140" s="173"/>
      <x:c r="K140" s="173"/>
      <x:c r="L140" s="173"/>
      <x:c r="M140" s="173"/>
      <x:c r="N140" s="173"/>
      <x:c r="O140" s="173"/>
      <x:c r="P140" s="173"/>
      <x:c r="Q140" s="173"/>
      <x:c r="R140" s="173"/>
      <x:c r="S140" s="173"/>
      <x:c r="T140" s="173"/>
      <x:c r="U140" s="173"/>
      <x:c r="V140" s="173"/>
      <x:c r="W140" s="173"/>
      <x:c r="X140" s="173"/>
      <x:c r="Y140" s="173"/>
      <x:c r="Z140" s="174"/>
      <x:c r="AA140" s="175" t="str">
        <x:f>IF(H140="","BOŞ",IF(AND(H140="READY_FOR_REVIEW",I140&lt;&gt;"",J140&lt;&gt;"",LEN(K140)=64,L140&lt;&gt;"",M140&lt;&gt;"",N140&lt;&gt;"",O140&lt;&gt;"",P140&lt;&gt;"",Q140&lt;&gt;"",R140&lt;&gt;"",S140&lt;&gt;"",T140&lt;&gt;"",U140&lt;&gt;"",V140&lt;&gt;"",W140&lt;&gt;"",X140&lt;&gt;"",W140&lt;&gt;X140,Y140&lt;&gt;""),"İNCELEMEYE_HAZIR","EKSİK"))</x:f>
        <x:v>BOŞ</x:v>
      </x:c>
    </x:row>
    <x:row r="141" ht="38" customHeight="1">
      <x:c r="A141" s="169" t="n">
        <x:v>136</x:v>
      </x:c>
      <x:c r="B141" s="170" t="str">
        <x:v>OR-011</x:v>
      </x:c>
      <x:c r="C141" s="170" t="str">
        <x:v>OR</x:v>
      </x:c>
      <x:c r="D141" s="170" t="str">
        <x:v>YENİ / ÖNERİLEN</x:v>
      </x:c>
      <x:c r="E141" s="170" t="str">
        <x:v>Operasyonel Dayanıklılık ve İnsan Faktörleri — OR</x:v>
      </x:c>
      <x:c r="F141" s="171" t="str">
        <x:v>Elektrik, UPS, workstation, işletim sistemi ve yerel ağ kesintileri için gerçekçi recovery kanıtı var mı?</x:v>
      </x:c>
      <x:c r="G141" s="170" t="str">
        <x:v>REVIEW_REQUIRED</x:v>
      </x:c>
      <x:c r="H141" s="172"/>
      <x:c r="I141" s="173"/>
      <x:c r="J141" s="173"/>
      <x:c r="K141" s="173"/>
      <x:c r="L141" s="173"/>
      <x:c r="M141" s="173"/>
      <x:c r="N141" s="173"/>
      <x:c r="O141" s="173"/>
      <x:c r="P141" s="173"/>
      <x:c r="Q141" s="173"/>
      <x:c r="R141" s="173"/>
      <x:c r="S141" s="173"/>
      <x:c r="T141" s="173"/>
      <x:c r="U141" s="173"/>
      <x:c r="V141" s="173"/>
      <x:c r="W141" s="173"/>
      <x:c r="X141" s="173"/>
      <x:c r="Y141" s="173"/>
      <x:c r="Z141" s="174"/>
      <x:c r="AA141" s="175" t="str">
        <x:f>IF(H141="","BOŞ",IF(AND(H141="READY_FOR_REVIEW",I141&lt;&gt;"",J141&lt;&gt;"",LEN(K141)=64,L141&lt;&gt;"",M141&lt;&gt;"",N141&lt;&gt;"",O141&lt;&gt;"",P141&lt;&gt;"",Q141&lt;&gt;"",R141&lt;&gt;"",S141&lt;&gt;"",T141&lt;&gt;"",U141&lt;&gt;"",V141&lt;&gt;"",W141&lt;&gt;"",X141&lt;&gt;"",W141&lt;&gt;X141,Y141&lt;&gt;""),"İNCELEMEYE_HAZIR","EKSİK"))</x:f>
        <x:v>BOŞ</x:v>
      </x:c>
    </x:row>
    <x:row r="142" ht="38" customHeight="1">
      <x:c r="A142" s="169" t="n">
        <x:v>137</x:v>
      </x:c>
      <x:c r="B142" s="170" t="str">
        <x:v>OR-012</x:v>
      </x:c>
      <x:c r="C142" s="170" t="str">
        <x:v>OR</x:v>
      </x:c>
      <x:c r="D142" s="170" t="str">
        <x:v>YENİ / ÖNERİLEN</x:v>
      </x:c>
      <x:c r="E142" s="170" t="str">
        <x:v>Operasyonel Dayanıklılık ve İnsan Faktörleri — OR</x:v>
      </x:c>
      <x:c r="F142" s="171" t="str">
        <x:v>Beklenen yüksek volatilite/event pencerelerinde change-freeze veya daha sıkı deployment politikası tanımlı mı?</x:v>
      </x:c>
      <x:c r="G142" s="170" t="str">
        <x:v>REVIEW_REQUIRED</x:v>
      </x:c>
      <x:c r="H142" s="172"/>
      <x:c r="I142" s="173"/>
      <x:c r="J142" s="173"/>
      <x:c r="K142" s="173"/>
      <x:c r="L142" s="173"/>
      <x:c r="M142" s="173"/>
      <x:c r="N142" s="173"/>
      <x:c r="O142" s="173"/>
      <x:c r="P142" s="173"/>
      <x:c r="Q142" s="173"/>
      <x:c r="R142" s="173"/>
      <x:c r="S142" s="173"/>
      <x:c r="T142" s="173"/>
      <x:c r="U142" s="173"/>
      <x:c r="V142" s="173"/>
      <x:c r="W142" s="173"/>
      <x:c r="X142" s="173"/>
      <x:c r="Y142" s="173"/>
      <x:c r="Z142" s="174"/>
      <x:c r="AA142" s="175" t="str">
        <x:f>IF(H142="","BOŞ",IF(AND(H142="READY_FOR_REVIEW",I142&lt;&gt;"",J142&lt;&gt;"",LEN(K142)=64,L142&lt;&gt;"",M142&lt;&gt;"",N142&lt;&gt;"",O142&lt;&gt;"",P142&lt;&gt;"",Q142&lt;&gt;"",R142&lt;&gt;"",S142&lt;&gt;"",T142&lt;&gt;"",U142&lt;&gt;"",V142&lt;&gt;"",W142&lt;&gt;"",X142&lt;&gt;"",W142&lt;&gt;X142,Y142&lt;&gt;""),"İNCELEMEYE_HAZIR","EKSİK"))</x:f>
        <x:v>BOŞ</x:v>
      </x:c>
    </x:row>
    <x:row r="143" ht="38" customHeight="1">
      <x:c r="A143" s="169" t="n">
        <x:v>138</x:v>
      </x:c>
      <x:c r="B143" s="170" t="str">
        <x:v>OR-013</x:v>
      </x:c>
      <x:c r="C143" s="170" t="str">
        <x:v>OR</x:v>
      </x:c>
      <x:c r="D143" s="170" t="str">
        <x:v>YENİ / ÖNERİLEN</x:v>
      </x:c>
      <x:c r="E143" s="170" t="str">
        <x:v>Operasyonel Dayanıklılık ve İnsan Faktörleri — OR</x:v>
      </x:c>
      <x:c r="F143" s="171" t="str">
        <x:v>Canary veya kontrollü deployment, sermaye ve enstrüman kapsamını gerçekten sınırlandırıyor mu?</x:v>
      </x:c>
      <x:c r="G143" s="170" t="str">
        <x:v>REVIEW_REQUIRED</x:v>
      </x:c>
      <x:c r="H143" s="172"/>
      <x:c r="I143" s="173"/>
      <x:c r="J143" s="173"/>
      <x:c r="K143" s="173"/>
      <x:c r="L143" s="173"/>
      <x:c r="M143" s="173"/>
      <x:c r="N143" s="173"/>
      <x:c r="O143" s="173"/>
      <x:c r="P143" s="173"/>
      <x:c r="Q143" s="173"/>
      <x:c r="R143" s="173"/>
      <x:c r="S143" s="173"/>
      <x:c r="T143" s="173"/>
      <x:c r="U143" s="173"/>
      <x:c r="V143" s="173"/>
      <x:c r="W143" s="173"/>
      <x:c r="X143" s="173"/>
      <x:c r="Y143" s="173"/>
      <x:c r="Z143" s="174"/>
      <x:c r="AA143" s="175" t="str">
        <x:f>IF(H143="","BOŞ",IF(AND(H143="READY_FOR_REVIEW",I143&lt;&gt;"",J143&lt;&gt;"",LEN(K143)=64,L143&lt;&gt;"",M143&lt;&gt;"",N143&lt;&gt;"",O143&lt;&gt;"",P143&lt;&gt;"",Q143&lt;&gt;"",R143&lt;&gt;"",S143&lt;&gt;"",T143&lt;&gt;"",U143&lt;&gt;"",V143&lt;&gt;"",W143&lt;&gt;"",X143&lt;&gt;"",W143&lt;&gt;X143,Y143&lt;&gt;""),"İNCELEMEYE_HAZIR","EKSİK"))</x:f>
        <x:v>BOŞ</x:v>
      </x:c>
    </x:row>
    <x:row r="144" ht="38" customHeight="1">
      <x:c r="A144" s="169" t="n">
        <x:v>139</x:v>
      </x:c>
      <x:c r="B144" s="170" t="str">
        <x:v>OR-014</x:v>
      </x:c>
      <x:c r="C144" s="170" t="str">
        <x:v>OR</x:v>
      </x:c>
      <x:c r="D144" s="170" t="str">
        <x:v>YENİ / ÖNERİLEN</x:v>
      </x:c>
      <x:c r="E144" s="170" t="str">
        <x:v>Operasyonel Dayanıklılık ve İnsan Faktörleri — OR</x:v>
      </x:c>
      <x:c r="F144" s="171" t="str">
        <x:v>Rollback yalnızca kodu değil schema, config, policy, model ve açık pozisyon etkisini kapsıyor mu?</x:v>
      </x:c>
      <x:c r="G144" s="170" t="str">
        <x:v>REVIEW_REQUIRED</x:v>
      </x:c>
      <x:c r="H144" s="172"/>
      <x:c r="I144" s="173"/>
      <x:c r="J144" s="173"/>
      <x:c r="K144" s="173"/>
      <x:c r="L144" s="173"/>
      <x:c r="M144" s="173"/>
      <x:c r="N144" s="173"/>
      <x:c r="O144" s="173"/>
      <x:c r="P144" s="173"/>
      <x:c r="Q144" s="173"/>
      <x:c r="R144" s="173"/>
      <x:c r="S144" s="173"/>
      <x:c r="T144" s="173"/>
      <x:c r="U144" s="173"/>
      <x:c r="V144" s="173"/>
      <x:c r="W144" s="173"/>
      <x:c r="X144" s="173"/>
      <x:c r="Y144" s="173"/>
      <x:c r="Z144" s="174"/>
      <x:c r="AA144" s="175" t="str">
        <x:f>IF(H144="","BOŞ",IF(AND(H144="READY_FOR_REVIEW",I144&lt;&gt;"",J144&lt;&gt;"",LEN(K144)=64,L144&lt;&gt;"",M144&lt;&gt;"",N144&lt;&gt;"",O144&lt;&gt;"",P144&lt;&gt;"",Q144&lt;&gt;"",R144&lt;&gt;"",S144&lt;&gt;"",T144&lt;&gt;"",U144&lt;&gt;"",V144&lt;&gt;"",W144&lt;&gt;"",X144&lt;&gt;"",W144&lt;&gt;X144,Y144&lt;&gt;""),"İNCELEMEYE_HAZIR","EKSİK"))</x:f>
        <x:v>BOŞ</x:v>
      </x:c>
    </x:row>
    <x:row r="145" ht="38" customHeight="1">
      <x:c r="A145" s="169" t="n">
        <x:v>140</x:v>
      </x:c>
      <x:c r="B145" s="170" t="str">
        <x:v>OR-015</x:v>
      </x:c>
      <x:c r="C145" s="170" t="str">
        <x:v>OR</x:v>
      </x:c>
      <x:c r="D145" s="170" t="str">
        <x:v>YENİ / ÖNERİLEN</x:v>
      </x:c>
      <x:c r="E145" s="170" t="str">
        <x:v>Operasyonel Dayanıklılık ve İnsan Faktörleri — OR</x:v>
      </x:c>
      <x:c r="F145" s="171" t="str">
        <x:v>Chaos/failure injection üretim yetkisi vermeden gerçek dependency graph üzerinde tekrarlanabiliyor mu?</x:v>
      </x:c>
      <x:c r="G145" s="170" t="str">
        <x:v>REVIEW_REQUIRED</x:v>
      </x:c>
      <x:c r="H145" s="172"/>
      <x:c r="I145" s="173"/>
      <x:c r="J145" s="173"/>
      <x:c r="K145" s="173"/>
      <x:c r="L145" s="173"/>
      <x:c r="M145" s="173"/>
      <x:c r="N145" s="173"/>
      <x:c r="O145" s="173"/>
      <x:c r="P145" s="173"/>
      <x:c r="Q145" s="173"/>
      <x:c r="R145" s="173"/>
      <x:c r="S145" s="173"/>
      <x:c r="T145" s="173"/>
      <x:c r="U145" s="173"/>
      <x:c r="V145" s="173"/>
      <x:c r="W145" s="173"/>
      <x:c r="X145" s="173"/>
      <x:c r="Y145" s="173"/>
      <x:c r="Z145" s="174"/>
      <x:c r="AA145" s="175" t="str">
        <x:f>IF(H145="","BOŞ",IF(AND(H145="READY_FOR_REVIEW",I145&lt;&gt;"",J145&lt;&gt;"",LEN(K145)=64,L145&lt;&gt;"",M145&lt;&gt;"",N145&lt;&gt;"",O145&lt;&gt;"",P145&lt;&gt;"",Q145&lt;&gt;"",R145&lt;&gt;"",S145&lt;&gt;"",T145&lt;&gt;"",U145&lt;&gt;"",V145&lt;&gt;"",W145&lt;&gt;"",X145&lt;&gt;"",W145&lt;&gt;X145,Y145&lt;&gt;""),"İNCELEMEYE_HAZIR","EKSİK"))</x:f>
        <x:v>BOŞ</x:v>
      </x:c>
    </x:row>
    <x:row r="146" ht="38" customHeight="1">
      <x:c r="A146" s="169" t="n">
        <x:v>141</x:v>
      </x:c>
      <x:c r="B146" s="170" t="str">
        <x:v>OR-016</x:v>
      </x:c>
      <x:c r="C146" s="170" t="str">
        <x:v>OR</x:v>
      </x:c>
      <x:c r="D146" s="170" t="str">
        <x:v>YENİ / ÖNERİLEN</x:v>
      </x:c>
      <x:c r="E146" s="170" t="str">
        <x:v>Operasyonel Dayanıklılık ve İnsan Faktörleri — OR</x:v>
      </x:c>
      <x:c r="F146" s="171" t="str">
        <x:v>Alert fırtınası ve alert fatigue kritik alarmın görülmesini engelliyor mu?</x:v>
      </x:c>
      <x:c r="G146" s="170" t="str">
        <x:v>REVIEW_REQUIRED</x:v>
      </x:c>
      <x:c r="H146" s="172"/>
      <x:c r="I146" s="173"/>
      <x:c r="J146" s="173"/>
      <x:c r="K146" s="173"/>
      <x:c r="L146" s="173"/>
      <x:c r="M146" s="173"/>
      <x:c r="N146" s="173"/>
      <x:c r="O146" s="173"/>
      <x:c r="P146" s="173"/>
      <x:c r="Q146" s="173"/>
      <x:c r="R146" s="173"/>
      <x:c r="S146" s="173"/>
      <x:c r="T146" s="173"/>
      <x:c r="U146" s="173"/>
      <x:c r="V146" s="173"/>
      <x:c r="W146" s="173"/>
      <x:c r="X146" s="173"/>
      <x:c r="Y146" s="173"/>
      <x:c r="Z146" s="174"/>
      <x:c r="AA146" s="175" t="str">
        <x:f>IF(H146="","BOŞ",IF(AND(H146="READY_FOR_REVIEW",I146&lt;&gt;"",J146&lt;&gt;"",LEN(K146)=64,L146&lt;&gt;"",M146&lt;&gt;"",N146&lt;&gt;"",O146&lt;&gt;"",P146&lt;&gt;"",Q146&lt;&gt;"",R146&lt;&gt;"",S146&lt;&gt;"",T146&lt;&gt;"",U146&lt;&gt;"",V146&lt;&gt;"",W146&lt;&gt;"",X146&lt;&gt;"",W146&lt;&gt;X146,Y146&lt;&gt;""),"İNCELEMEYE_HAZIR","EKSİK"))</x:f>
        <x:v>BOŞ</x:v>
      </x:c>
    </x:row>
    <x:row r="147" ht="38" customHeight="1">
      <x:c r="A147" s="169" t="n">
        <x:v>142</x:v>
      </x:c>
      <x:c r="B147" s="170" t="str">
        <x:v>OR-017</x:v>
      </x:c>
      <x:c r="C147" s="170" t="str">
        <x:v>OR</x:v>
      </x:c>
      <x:c r="D147" s="170" t="str">
        <x:v>YENİ / ÖNERİLEN</x:v>
      </x:c>
      <x:c r="E147" s="170" t="str">
        <x:v>Operasyonel Dayanıklılık ve İnsan Faktörleri — OR</x:v>
      </x:c>
      <x:c r="F147" s="171" t="str">
        <x:v>Her alarmın sahibi, zaman bütçesi, otomatik eylemi ve kapanış kanıtı tanımlı mı?</x:v>
      </x:c>
      <x:c r="G147" s="170" t="str">
        <x:v>REVIEW_REQUIRED</x:v>
      </x:c>
      <x:c r="H147" s="172"/>
      <x:c r="I147" s="173"/>
      <x:c r="J147" s="173"/>
      <x:c r="K147" s="173"/>
      <x:c r="L147" s="173"/>
      <x:c r="M147" s="173"/>
      <x:c r="N147" s="173"/>
      <x:c r="O147" s="173"/>
      <x:c r="P147" s="173"/>
      <x:c r="Q147" s="173"/>
      <x:c r="R147" s="173"/>
      <x:c r="S147" s="173"/>
      <x:c r="T147" s="173"/>
      <x:c r="U147" s="173"/>
      <x:c r="V147" s="173"/>
      <x:c r="W147" s="173"/>
      <x:c r="X147" s="173"/>
      <x:c r="Y147" s="173"/>
      <x:c r="Z147" s="174"/>
      <x:c r="AA147" s="175" t="str">
        <x:f>IF(H147="","BOŞ",IF(AND(H147="READY_FOR_REVIEW",I147&lt;&gt;"",J147&lt;&gt;"",LEN(K147)=64,L147&lt;&gt;"",M147&lt;&gt;"",N147&lt;&gt;"",O147&lt;&gt;"",P147&lt;&gt;"",Q147&lt;&gt;"",R147&lt;&gt;"",S147&lt;&gt;"",T147&lt;&gt;"",U147&lt;&gt;"",V147&lt;&gt;"",W147&lt;&gt;"",X147&lt;&gt;"",W147&lt;&gt;X147,Y147&lt;&gt;""),"İNCELEMEYE_HAZIR","EKSİK"))</x:f>
        <x:v>BOŞ</x:v>
      </x:c>
    </x:row>
    <x:row r="148" ht="38" customHeight="1">
      <x:c r="A148" s="169" t="n">
        <x:v>143</x:v>
      </x:c>
      <x:c r="B148" s="170" t="str">
        <x:v>OR-018</x:v>
      </x:c>
      <x:c r="C148" s="170" t="str">
        <x:v>OR</x:v>
      </x:c>
      <x:c r="D148" s="170" t="str">
        <x:v>YENİ / ÖNERİLEN</x:v>
      </x:c>
      <x:c r="E148" s="170" t="str">
        <x:v>Operasyonel Dayanıklılık ve İnsan Faktörleri — OR</x:v>
      </x:c>
      <x:c r="F148" s="171" t="str">
        <x:v>Manual input veya override yanlış format, stale context ve yanlış hesap seçimine karşı doğrulanıyor mu?</x:v>
      </x:c>
      <x:c r="G148" s="170" t="str">
        <x:v>REVIEW_REQUIRED</x:v>
      </x:c>
      <x:c r="H148" s="172"/>
      <x:c r="I148" s="173"/>
      <x:c r="J148" s="173"/>
      <x:c r="K148" s="173"/>
      <x:c r="L148" s="173"/>
      <x:c r="M148" s="173"/>
      <x:c r="N148" s="173"/>
      <x:c r="O148" s="173"/>
      <x:c r="P148" s="173"/>
      <x:c r="Q148" s="173"/>
      <x:c r="R148" s="173"/>
      <x:c r="S148" s="173"/>
      <x:c r="T148" s="173"/>
      <x:c r="U148" s="173"/>
      <x:c r="V148" s="173"/>
      <x:c r="W148" s="173"/>
      <x:c r="X148" s="173"/>
      <x:c r="Y148" s="173"/>
      <x:c r="Z148" s="174"/>
      <x:c r="AA148" s="175" t="str">
        <x:f>IF(H148="","BOŞ",IF(AND(H148="READY_FOR_REVIEW",I148&lt;&gt;"",J148&lt;&gt;"",LEN(K148)=64,L148&lt;&gt;"",M148&lt;&gt;"",N148&lt;&gt;"",O148&lt;&gt;"",P148&lt;&gt;"",Q148&lt;&gt;"",R148&lt;&gt;"",S148&lt;&gt;"",T148&lt;&gt;"",U148&lt;&gt;"",V148&lt;&gt;"",W148&lt;&gt;"",X148&lt;&gt;"",W148&lt;&gt;X148,Y148&lt;&gt;""),"İNCELEMEYE_HAZIR","EKSİK"))</x:f>
        <x:v>BOŞ</x:v>
      </x:c>
    </x:row>
    <x:row r="149" ht="38" customHeight="1">
      <x:c r="A149" s="169" t="n">
        <x:v>144</x:v>
      </x:c>
      <x:c r="B149" s="170" t="str">
        <x:v>OR-019</x:v>
      </x:c>
      <x:c r="C149" s="170" t="str">
        <x:v>OR</x:v>
      </x:c>
      <x:c r="D149" s="170" t="str">
        <x:v>YENİ / ÖNERİLEN</x:v>
      </x:c>
      <x:c r="E149" s="170" t="str">
        <x:v>Operasyonel Dayanıklılık ve İnsan Faktörleri — OR</x:v>
      </x:c>
      <x:c r="F149" s="171" t="str">
        <x:v>Yüksek etkili değişiklik veya kurtarma eylemi için gerekli bağımsız kontrol/iki kişi kuralı uygulanabilir mi?</x:v>
      </x:c>
      <x:c r="G149" s="170" t="str">
        <x:v>REVIEW_REQUIRED</x:v>
      </x:c>
      <x:c r="H149" s="172"/>
      <x:c r="I149" s="173"/>
      <x:c r="J149" s="173"/>
      <x:c r="K149" s="173"/>
      <x:c r="L149" s="173"/>
      <x:c r="M149" s="173"/>
      <x:c r="N149" s="173"/>
      <x:c r="O149" s="173"/>
      <x:c r="P149" s="173"/>
      <x:c r="Q149" s="173"/>
      <x:c r="R149" s="173"/>
      <x:c r="S149" s="173"/>
      <x:c r="T149" s="173"/>
      <x:c r="U149" s="173"/>
      <x:c r="V149" s="173"/>
      <x:c r="W149" s="173"/>
      <x:c r="X149" s="173"/>
      <x:c r="Y149" s="173"/>
      <x:c r="Z149" s="174"/>
      <x:c r="AA149" s="175" t="str">
        <x:f>IF(H149="","BOŞ",IF(AND(H149="READY_FOR_REVIEW",I149&lt;&gt;"",J149&lt;&gt;"",LEN(K149)=64,L149&lt;&gt;"",M149&lt;&gt;"",N149&lt;&gt;"",O149&lt;&gt;"",P149&lt;&gt;"",Q149&lt;&gt;"",R149&lt;&gt;"",S149&lt;&gt;"",T149&lt;&gt;"",U149&lt;&gt;"",V149&lt;&gt;"",W149&lt;&gt;"",X149&lt;&gt;"",W149&lt;&gt;X149,Y149&lt;&gt;""),"İNCELEMEYE_HAZIR","EKSİK"))</x:f>
        <x:v>BOŞ</x:v>
      </x:c>
    </x:row>
    <x:row r="150" ht="38" customHeight="1">
      <x:c r="A150" s="169" t="n">
        <x:v>145</x:v>
      </x:c>
      <x:c r="B150" s="170" t="str">
        <x:v>OR-020</x:v>
      </x:c>
      <x:c r="C150" s="170" t="str">
        <x:v>OR</x:v>
      </x:c>
      <x:c r="D150" s="170" t="str">
        <x:v>YENİ / ÖNERİLEN</x:v>
      </x:c>
      <x:c r="E150" s="170" t="str">
        <x:v>Operasyonel Dayanıklılık ve İnsan Faktörleri — OR</x:v>
      </x:c>
      <x:c r="F150" s="171" t="str">
        <x:v>Operatör yorgunluğu, saat dilimi, eğitim eksikliği ve erişilemezlik incident senaryolarında ele alınıyor mu?</x:v>
      </x:c>
      <x:c r="G150" s="170" t="str">
        <x:v>REVIEW_REQUIRED</x:v>
      </x:c>
      <x:c r="H150" s="172"/>
      <x:c r="I150" s="173"/>
      <x:c r="J150" s="173"/>
      <x:c r="K150" s="173"/>
      <x:c r="L150" s="173"/>
      <x:c r="M150" s="173"/>
      <x:c r="N150" s="173"/>
      <x:c r="O150" s="173"/>
      <x:c r="P150" s="173"/>
      <x:c r="Q150" s="173"/>
      <x:c r="R150" s="173"/>
      <x:c r="S150" s="173"/>
      <x:c r="T150" s="173"/>
      <x:c r="U150" s="173"/>
      <x:c r="V150" s="173"/>
      <x:c r="W150" s="173"/>
      <x:c r="X150" s="173"/>
      <x:c r="Y150" s="173"/>
      <x:c r="Z150" s="174"/>
      <x:c r="AA150" s="175" t="str">
        <x:f>IF(H150="","BOŞ",IF(AND(H150="READY_FOR_REVIEW",I150&lt;&gt;"",J150&lt;&gt;"",LEN(K150)=64,L150&lt;&gt;"",M150&lt;&gt;"",N150&lt;&gt;"",O150&lt;&gt;"",P150&lt;&gt;"",Q150&lt;&gt;"",R150&lt;&gt;"",S150&lt;&gt;"",T150&lt;&gt;"",U150&lt;&gt;"",V150&lt;&gt;"",W150&lt;&gt;"",X150&lt;&gt;"",W150&lt;&gt;X150,Y150&lt;&gt;""),"İNCELEMEYE_HAZIR","EKSİK"))</x:f>
        <x:v>BOŞ</x:v>
      </x:c>
    </x:row>
    <x:row r="151" ht="38" customHeight="1">
      <x:c r="A151" s="169" t="n">
        <x:v>146</x:v>
      </x:c>
      <x:c r="B151" s="170" t="str">
        <x:v>OR-021</x:v>
      </x:c>
      <x:c r="C151" s="170" t="str">
        <x:v>OR</x:v>
      </x:c>
      <x:c r="D151" s="170" t="str">
        <x:v>YENİ / ÖNERİLEN</x:v>
      </x:c>
      <x:c r="E151" s="170" t="str">
        <x:v>Operasyonel Dayanıklılık ve İnsan Faktörleri — OR</x:v>
      </x:c>
      <x:c r="F151" s="171" t="str">
        <x:v>Incident severity ekonomik zarar, veri bütünlüğü, yetki kaybı ve piyasa bütünlüğünü birlikte değerlendiriyor mu?</x:v>
      </x:c>
      <x:c r="G151" s="170" t="str">
        <x:v>REVIEW_REQUIRED</x:v>
      </x:c>
      <x:c r="H151" s="172"/>
      <x:c r="I151" s="173"/>
      <x:c r="J151" s="173"/>
      <x:c r="K151" s="173"/>
      <x:c r="L151" s="173"/>
      <x:c r="M151" s="173"/>
      <x:c r="N151" s="173"/>
      <x:c r="O151" s="173"/>
      <x:c r="P151" s="173"/>
      <x:c r="Q151" s="173"/>
      <x:c r="R151" s="173"/>
      <x:c r="S151" s="173"/>
      <x:c r="T151" s="173"/>
      <x:c r="U151" s="173"/>
      <x:c r="V151" s="173"/>
      <x:c r="W151" s="173"/>
      <x:c r="X151" s="173"/>
      <x:c r="Y151" s="173"/>
      <x:c r="Z151" s="174"/>
      <x:c r="AA151" s="175" t="str">
        <x:f>IF(H151="","BOŞ",IF(AND(H151="READY_FOR_REVIEW",I151&lt;&gt;"",J151&lt;&gt;"",LEN(K151)=64,L151&lt;&gt;"",M151&lt;&gt;"",N151&lt;&gt;"",O151&lt;&gt;"",P151&lt;&gt;"",Q151&lt;&gt;"",R151&lt;&gt;"",S151&lt;&gt;"",T151&lt;&gt;"",U151&lt;&gt;"",V151&lt;&gt;"",W151&lt;&gt;"",X151&lt;&gt;"",W151&lt;&gt;X151,Y151&lt;&gt;""),"İNCELEMEYE_HAZIR","EKSİK"))</x:f>
        <x:v>BOŞ</x:v>
      </x:c>
    </x:row>
    <x:row r="152" ht="38" customHeight="1">
      <x:c r="A152" s="169" t="n">
        <x:v>147</x:v>
      </x:c>
      <x:c r="B152" s="170" t="str">
        <x:v>OR-022</x:v>
      </x:c>
      <x:c r="C152" s="170" t="str">
        <x:v>OR</x:v>
      </x:c>
      <x:c r="D152" s="170" t="str">
        <x:v>YENİ / ÖNERİLEN</x:v>
      </x:c>
      <x:c r="E152" s="170" t="str">
        <x:v>Operasyonel Dayanıklılık ve İnsan Faktörleri — OR</x:v>
      </x:c>
      <x:c r="F152" s="171" t="str">
        <x:v>Postmortem suçlama yerine kök neden, kaçan kontrol, kanıt ve tekrar önleme eylemini kaydediyor mu?</x:v>
      </x:c>
      <x:c r="G152" s="170" t="str">
        <x:v>REVIEW_REQUIRED</x:v>
      </x:c>
      <x:c r="H152" s="172"/>
      <x:c r="I152" s="173"/>
      <x:c r="J152" s="173"/>
      <x:c r="K152" s="173"/>
      <x:c r="L152" s="173"/>
      <x:c r="M152" s="173"/>
      <x:c r="N152" s="173"/>
      <x:c r="O152" s="173"/>
      <x:c r="P152" s="173"/>
      <x:c r="Q152" s="173"/>
      <x:c r="R152" s="173"/>
      <x:c r="S152" s="173"/>
      <x:c r="T152" s="173"/>
      <x:c r="U152" s="173"/>
      <x:c r="V152" s="173"/>
      <x:c r="W152" s="173"/>
      <x:c r="X152" s="173"/>
      <x:c r="Y152" s="173"/>
      <x:c r="Z152" s="174"/>
      <x:c r="AA152" s="175" t="str">
        <x:f>IF(H152="","BOŞ",IF(AND(H152="READY_FOR_REVIEW",I152&lt;&gt;"",J152&lt;&gt;"",LEN(K152)=64,L152&lt;&gt;"",M152&lt;&gt;"",N152&lt;&gt;"",O152&lt;&gt;"",P152&lt;&gt;"",Q152&lt;&gt;"",R152&lt;&gt;"",S152&lt;&gt;"",T152&lt;&gt;"",U152&lt;&gt;"",V152&lt;&gt;"",W152&lt;&gt;"",X152&lt;&gt;"",W152&lt;&gt;X152,Y152&lt;&gt;""),"İNCELEMEYE_HAZIR","EKSİK"))</x:f>
        <x:v>BOŞ</x:v>
      </x:c>
    </x:row>
    <x:row r="153" ht="38" customHeight="1">
      <x:c r="A153" s="169" t="n">
        <x:v>148</x:v>
      </x:c>
      <x:c r="B153" s="170" t="str">
        <x:v>OR-023</x:v>
      </x:c>
      <x:c r="C153" s="170" t="str">
        <x:v>OR</x:v>
      </x:c>
      <x:c r="D153" s="170" t="str">
        <x:v>YENİ / ÖNERİLEN</x:v>
      </x:c>
      <x:c r="E153" s="170" t="str">
        <x:v>Operasyonel Dayanıklılık ve İnsan Faktörleri — OR</x:v>
      </x:c>
      <x:c r="F153" s="171" t="str">
        <x:v>Recovery'nin tamamlandığını söyleyen bileşen, recovery'yi gerçekleştiren bileşenden bağımsız doğrulanıyor mu?</x:v>
      </x:c>
      <x:c r="G153" s="170" t="str">
        <x:v>REVIEW_REQUIRED</x:v>
      </x:c>
      <x:c r="H153" s="172"/>
      <x:c r="I153" s="173"/>
      <x:c r="J153" s="173"/>
      <x:c r="K153" s="173"/>
      <x:c r="L153" s="173"/>
      <x:c r="M153" s="173"/>
      <x:c r="N153" s="173"/>
      <x:c r="O153" s="173"/>
      <x:c r="P153" s="173"/>
      <x:c r="Q153" s="173"/>
      <x:c r="R153" s="173"/>
      <x:c r="S153" s="173"/>
      <x:c r="T153" s="173"/>
      <x:c r="U153" s="173"/>
      <x:c r="V153" s="173"/>
      <x:c r="W153" s="173"/>
      <x:c r="X153" s="173"/>
      <x:c r="Y153" s="173"/>
      <x:c r="Z153" s="174"/>
      <x:c r="AA153" s="175" t="str">
        <x:f>IF(H153="","BOŞ",IF(AND(H153="READY_FOR_REVIEW",I153&lt;&gt;"",J153&lt;&gt;"",LEN(K153)=64,L153&lt;&gt;"",M153&lt;&gt;"",N153&lt;&gt;"",O153&lt;&gt;"",P153&lt;&gt;"",Q153&lt;&gt;"",R153&lt;&gt;"",S153&lt;&gt;"",T153&lt;&gt;"",U153&lt;&gt;"",V153&lt;&gt;"",W153&lt;&gt;"",X153&lt;&gt;"",W153&lt;&gt;X153,Y153&lt;&gt;""),"İNCELEMEYE_HAZIR","EKSİK"))</x:f>
        <x:v>BOŞ</x:v>
      </x:c>
    </x:row>
    <x:row r="154" ht="38" customHeight="1">
      <x:c r="A154" s="169" t="n">
        <x:v>149</x:v>
      </x:c>
      <x:c r="B154" s="170" t="str">
        <x:v>OR-024</x:v>
      </x:c>
      <x:c r="C154" s="170" t="str">
        <x:v>OR</x:v>
      </x:c>
      <x:c r="D154" s="170" t="str">
        <x:v>YENİ / ÖNERİLEN</x:v>
      </x:c>
      <x:c r="E154" s="170" t="str">
        <x:v>Operasyonel Dayanıklılık ve İnsan Faktörleri — OR</x:v>
      </x:c>
      <x:c r="F154" s="171" t="str">
        <x:v>Uzun kesinti sonrası veri backfill ve state rebuild sırasında yeni trading yetkisi kapalı kalıyor mu?</x:v>
      </x:c>
      <x:c r="G154" s="170" t="str">
        <x:v>REVIEW_REQUIRED</x:v>
      </x:c>
      <x:c r="H154" s="172"/>
      <x:c r="I154" s="173"/>
      <x:c r="J154" s="173"/>
      <x:c r="K154" s="173"/>
      <x:c r="L154" s="173"/>
      <x:c r="M154" s="173"/>
      <x:c r="N154" s="173"/>
      <x:c r="O154" s="173"/>
      <x:c r="P154" s="173"/>
      <x:c r="Q154" s="173"/>
      <x:c r="R154" s="173"/>
      <x:c r="S154" s="173"/>
      <x:c r="T154" s="173"/>
      <x:c r="U154" s="173"/>
      <x:c r="V154" s="173"/>
      <x:c r="W154" s="173"/>
      <x:c r="X154" s="173"/>
      <x:c r="Y154" s="173"/>
      <x:c r="Z154" s="174"/>
      <x:c r="AA154" s="175" t="str">
        <x:f>IF(H154="","BOŞ",IF(AND(H154="READY_FOR_REVIEW",I154&lt;&gt;"",J154&lt;&gt;"",LEN(K154)=64,L154&lt;&gt;"",M154&lt;&gt;"",N154&lt;&gt;"",O154&lt;&gt;"",P154&lt;&gt;"",Q154&lt;&gt;"",R154&lt;&gt;"",S154&lt;&gt;"",T154&lt;&gt;"",U154&lt;&gt;"",V154&lt;&gt;"",W154&lt;&gt;"",X154&lt;&gt;"",W154&lt;&gt;X154,Y154&lt;&gt;""),"İNCELEMEYE_HAZIR","EKSİK"))</x:f>
        <x:v>BOŞ</x:v>
      </x:c>
    </x:row>
    <x:row r="155" ht="38" customHeight="1">
      <x:c r="A155" s="176" t="n">
        <x:v>150</x:v>
      </x:c>
      <x:c r="B155" s="177" t="str">
        <x:v>OR-025</x:v>
      </x:c>
      <x:c r="C155" s="177" t="str">
        <x:v>OR</x:v>
      </x:c>
      <x:c r="D155" s="177" t="str">
        <x:v>YENİ / ÖNERİLEN</x:v>
      </x:c>
      <x:c r="E155" s="177" t="str">
        <x:v>Operasyonel Dayanıklılık ve İnsan Faktörleri — OR</x:v>
      </x:c>
      <x:c r="F155" s="178" t="str">
        <x:v>Dayanıklılık testi yalnızca sistemin ayağa kalkmasını değil doğru ekonomik ve dış durumla uzlaşmasını kanıtlıyor mu?</x:v>
      </x:c>
      <x:c r="G155" s="177" t="str">
        <x:v>REVIEW_REQUIRED</x:v>
      </x:c>
      <x:c r="H155" s="179"/>
      <x:c r="I155" s="180"/>
      <x:c r="J155" s="180"/>
      <x:c r="K155" s="180"/>
      <x:c r="L155" s="180"/>
      <x:c r="M155" s="180"/>
      <x:c r="N155" s="180"/>
      <x:c r="O155" s="180"/>
      <x:c r="P155" s="180"/>
      <x:c r="Q155" s="180"/>
      <x:c r="R155" s="180"/>
      <x:c r="S155" s="180"/>
      <x:c r="T155" s="180"/>
      <x:c r="U155" s="180"/>
      <x:c r="V155" s="180"/>
      <x:c r="W155" s="180"/>
      <x:c r="X155" s="180"/>
      <x:c r="Y155" s="180"/>
      <x:c r="Z155" s="181"/>
      <x:c r="AA155" s="182" t="str">
        <x:f>IF(H155="","BOŞ",IF(AND(H155="READY_FOR_REVIEW",I155&lt;&gt;"",J155&lt;&gt;"",LEN(K155)=64,L155&lt;&gt;"",M155&lt;&gt;"",N155&lt;&gt;"",O155&lt;&gt;"",P155&lt;&gt;"",Q155&lt;&gt;"",R155&lt;&gt;"",S155&lt;&gt;"",T155&lt;&gt;"",U155&lt;&gt;"",V155&lt;&gt;"",W155&lt;&gt;"",X155&lt;&gt;"",W155&lt;&gt;X155,Y155&lt;&gt;""),"İNCELEMEYE_HAZIR","EKSİK"))</x:f>
        <x:v>BOŞ</x:v>
      </x:c>
    </x:row>
  </x:sheetData>
  <x:mergeCells>
    <x:mergeCell ref="A1:AA1"/>
    <x:mergeCell ref="A2:AA2"/>
    <x:mergeCell ref="A3:AA3"/>
    <x:mergeCell ref="A4:G4"/>
    <x:mergeCell ref="H4:Z4"/>
  </x:mergeCells>
  <x:conditionalFormatting sqref="AA6:AA155">
    <x:cfRule type="containsText" dxfId="0" priority="1" operator="containsText" text="İNCELEMEYE_HAZIR"/>
    <x:cfRule type="containsText" dxfId="1" priority="2" operator="containsText" text="EKSİK"/>
    <x:cfRule type="containsText" dxfId="2" priority="3" operator="containsText" text="BOŞ"/>
  </x:conditionalFormatting>
  <x:dataValidations count="5">
    <x:dataValidation type="list" sqref="H6:H155">
      <x:formula1>"DRAFT,READY_FOR_REVIEW"</x:formula1>
    </x:dataValidation>
    <x:dataValidation type="list" sqref="L6:L155">
      <x:formula1>"APPLICABLE,NOT_APPLICABLE"</x:formula1>
    </x:dataValidation>
    <x:dataValidation type="list" sqref="M6:M155">
      <x:formula1>"PRODUCTION_BLOCKING,CONDITIONAL_BLOCKING,ADVISORY"</x:formula1>
    </x:dataValidation>
    <x:dataValidation type="list" sqref="N6:N155">
      <x:formula1>"OBSERVED,DERIVED,INFERRED,VENDOR_MODEL,UNKNOWN,UNAVAILABLE"</x:formula1>
    </x:dataValidation>
    <x:dataValidation type="list" sqref="V6:V155">
      <x:formula1>"REQUIRED_BEFORE_ADOPTION,NOT_REQUIRED_WITH_RATIONALE"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c9b12d8da648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3" hidden="0" customWidth="1"/>
    <x:col min="3" max="3" width="16" hidden="0" customWidth="1"/>
    <x:col min="4" max="4" width="42" hidden="0" customWidth="1"/>
    <x:col min="5" max="5" width="68" hidden="0" customWidth="1"/>
  </x:cols>
  <x:sheetData>
    <x:row r="1">
      <x:c r="A1" s="155" t="str">
        <x:v>Alan Sözlüğü ve İzin Verilen Değerler</x:v>
      </x:c>
      <x:c r="B1" s="155"/>
      <x:c r="C1" s="155"/>
      <x:c r="D1" s="155"/>
      <x:c r="E1" s="155"/>
    </x:row>
    <x:row r="2">
      <x:c r="A2" s="155"/>
      <x:c r="B2" s="155"/>
      <x:c r="C2" s="155"/>
      <x:c r="D2" s="155"/>
      <x:c r="E2" s="155"/>
    </x:row>
    <x:row r="3">
      <x:c r="A3" s="61"/>
      <x:c r="B3" s="61"/>
      <x:c r="C3" s="61"/>
      <x:c r="D3" s="61"/>
      <x:c r="E3" s="61"/>
    </x:row>
    <x:row r="4" ht="34" customHeight="1">
      <x:c r="A4" s="189" t="str">
        <x:v>Alan</x:v>
      </x:c>
      <x:c r="B4" s="189" t="str">
        <x:v>Tür</x:v>
      </x:c>
      <x:c r="C4" s="189" t="str">
        <x:v>Düzenlenebilir</x:v>
      </x:c>
      <x:c r="D4" s="189" t="str">
        <x:v>Açıklama</x:v>
      </x:c>
      <x:c r="E4" s="189" t="str">
        <x:v>İzin verilen değer / biçim</x:v>
      </x:c>
    </x:row>
    <x:row r="5" ht="34" customHeight="1">
      <x:c r="A5" s="190" t="str">
        <x:v>question_id</x:v>
      </x:c>
      <x:c r="B5" s="191" t="str">
        <x:v>Kaynak</x:v>
      </x:c>
      <x:c r="C5" s="191" t="str">
        <x:v>Hayır</x:v>
      </x:c>
      <x:c r="D5" s="192" t="str">
        <x:v>İlk dalga soru kimliği</x:v>
      </x:c>
      <x:c r="E5" s="192" t="str">
        <x:v>SV/EP/MI/VC/CY/OR-001..025</x:v>
      </x:c>
    </x:row>
    <x:row r="6" ht="34" customHeight="1">
      <x:c r="A6" s="190" t="str">
        <x:v>decision_status</x:v>
      </x:c>
      <x:c r="B6" s="191" t="str">
        <x:v>Girdi</x:v>
      </x:c>
      <x:c r="C6" s="191" t="str">
        <x:v>Evet</x:v>
      </x:c>
      <x:c r="D6" s="192" t="str">
        <x:v>Taslak veya incelemeye gönderim adayı</x:v>
      </x:c>
      <x:c r="E6" s="192" t="str">
        <x:v>DRAFT | READY_FOR_REVIEW</x:v>
      </x:c>
    </x:row>
    <x:row r="7" ht="34" customHeight="1">
      <x:c r="A7" s="190" t="str">
        <x:v>change_request_id</x:v>
      </x:c>
      <x:c r="B7" s="191" t="str">
        <x:v>Girdi</x:v>
      </x:c>
      <x:c r="C7" s="191" t="str">
        <x:v>Evet</x:v>
      </x:c>
      <x:c r="D7" s="192" t="str">
        <x:v>İzlenebilir değişiklik talebi</x:v>
      </x:c>
      <x:c r="E7" s="192" t="str">
        <x:v>Gerçek change-control kimliği</x:v>
      </x:c>
    </x:row>
    <x:row r="8" ht="34" customHeight="1">
      <x:c r="A8" s="190" t="str">
        <x:v>question_version</x:v>
      </x:c>
      <x:c r="B8" s="191" t="str">
        <x:v>Girdi</x:v>
      </x:c>
      <x:c r="C8" s="191" t="str">
        <x:v>Evet</x:v>
      </x:c>
      <x:c r="D8" s="192" t="str">
        <x:v>İncelenen soru sürümü</x:v>
      </x:c>
      <x:c r="E8" s="192" t="str">
        <x:v>SemVer: 1.0.0</x:v>
      </x:c>
    </x:row>
    <x:row r="9" ht="34" customHeight="1">
      <x:c r="A9" s="190" t="str">
        <x:v>scope_hash</x:v>
      </x:c>
      <x:c r="B9" s="191" t="str">
        <x:v>Girdi</x:v>
      </x:c>
      <x:c r="C9" s="191" t="str">
        <x:v>Evet</x:v>
      </x:c>
      <x:c r="D9" s="192" t="str">
        <x:v>Kapsamın kanonik SHA-256 özeti</x:v>
      </x:c>
      <x:c r="E9" s="192" t="str">
        <x:v>64 küçük harf hex</x:v>
      </x:c>
    </x:row>
    <x:row r="10" ht="34" customHeight="1">
      <x:c r="A10" s="190" t="str">
        <x:v>applicability</x:v>
      </x:c>
      <x:c r="B10" s="191" t="str">
        <x:v>Girdi</x:v>
      </x:c>
      <x:c r="C10" s="191" t="str">
        <x:v>Evet</x:v>
      </x:c>
      <x:c r="D10" s="192" t="str">
        <x:v>Sorunun kapsama uygulanabilirliği</x:v>
      </x:c>
      <x:c r="E10" s="192" t="str">
        <x:v>APPLICABLE | NOT_APPLICABLE</x:v>
      </x:c>
    </x:row>
    <x:row r="11" ht="34" customHeight="1">
      <x:c r="A11" s="190" t="str">
        <x:v>criticality</x:v>
      </x:c>
      <x:c r="B11" s="191" t="str">
        <x:v>Girdi</x:v>
      </x:c>
      <x:c r="C11" s="191" t="str">
        <x:v>Evet</x:v>
      </x:c>
      <x:c r="D11" s="192" t="str">
        <x:v>Üretim etkisi</x:v>
      </x:c>
      <x:c r="E11" s="192" t="str">
        <x:v>PRODUCTION_BLOCKING | CONDITIONAL_BLOCKING | ADVISORY</x:v>
      </x:c>
    </x:row>
    <x:row r="12" ht="34" customHeight="1">
      <x:c r="A12" s="190" t="str">
        <x:v>information_class</x:v>
      </x:c>
      <x:c r="B12" s="191" t="str">
        <x:v>Girdi</x:v>
      </x:c>
      <x:c r="C12" s="191" t="str">
        <x:v>Evet</x:v>
      </x:c>
      <x:c r="D12" s="192" t="str">
        <x:v>Bilgi kökeni / sınıfı</x:v>
      </x:c>
      <x:c r="E12" s="192" t="str">
        <x:v>OBSERVED | DERIVED | INFERRED | VENDOR_MODEL | UNKNOWN | UNAVAILABLE</x:v>
      </x:c>
    </x:row>
    <x:row r="13" ht="34" customHeight="1">
      <x:c r="A13" s="190" t="str">
        <x:v>evidence_id</x:v>
      </x:c>
      <x:c r="B13" s="191" t="str">
        <x:v>Girdi</x:v>
      </x:c>
      <x:c r="C13" s="191" t="str">
        <x:v>Evet</x:v>
      </x:c>
      <x:c r="D13" s="192" t="str">
        <x:v>Kanıt nesnesi kimliği</x:v>
      </x:c>
      <x:c r="E13" s="192" t="str">
        <x:v>UNBOUND kullanmayın</x:v>
      </x:c>
    </x:row>
    <x:row r="14" ht="34" customHeight="1">
      <x:c r="A14" s="190" t="str">
        <x:v>contract_id</x:v>
      </x:c>
      <x:c r="B14" s="191" t="str">
        <x:v>Girdi</x:v>
      </x:c>
      <x:c r="C14" s="191" t="str">
        <x:v>Evet</x:v>
      </x:c>
      <x:c r="D14" s="192" t="str">
        <x:v>Bağlayıcı sözleşme kimliği</x:v>
      </x:c>
      <x:c r="E14" s="192" t="str">
        <x:v>UNBOUND kullanmayın</x:v>
      </x:c>
    </x:row>
    <x:row r="15" ht="34" customHeight="1">
      <x:c r="A15" s="190" t="str">
        <x:v>policy_id</x:v>
      </x:c>
      <x:c r="B15" s="191" t="str">
        <x:v>Girdi</x:v>
      </x:c>
      <x:c r="C15" s="191" t="str">
        <x:v>Evet</x:v>
      </x:c>
      <x:c r="D15" s="192" t="str">
        <x:v>Uygulanacak politika kimliği</x:v>
      </x:c>
      <x:c r="E15" s="192" t="str">
        <x:v>UNBOUND kullanmayın</x:v>
      </x:c>
    </x:row>
    <x:row r="16" ht="34" customHeight="1">
      <x:c r="A16" s="190" t="str">
        <x:v>test_id</x:v>
      </x:c>
      <x:c r="B16" s="191" t="str">
        <x:v>Girdi</x:v>
      </x:c>
      <x:c r="C16" s="191" t="str">
        <x:v>Evet</x:v>
      </x:c>
      <x:c r="D16" s="192" t="str">
        <x:v>Doğrulama testi kimliği</x:v>
      </x:c>
      <x:c r="E16" s="192" t="str">
        <x:v>UNBOUND kullanmayın</x:v>
      </x:c>
    </x:row>
    <x:row r="17" ht="34" customHeight="1">
      <x:c r="A17" s="190" t="str">
        <x:v>scenario_id</x:v>
      </x:c>
      <x:c r="B17" s="191" t="str">
        <x:v>Girdi</x:v>
      </x:c>
      <x:c r="C17" s="191" t="str">
        <x:v>Evet</x:v>
      </x:c>
      <x:c r="D17" s="192" t="str">
        <x:v>Test/operasyon senaryosu</x:v>
      </x:c>
      <x:c r="E17" s="192" t="str">
        <x:v>UNBOUND kullanmayın</x:v>
      </x:c>
    </x:row>
    <x:row r="18" ht="34" customHeight="1">
      <x:c r="A18" s="190" t="str">
        <x:v>observation_window</x:v>
      </x:c>
      <x:c r="B18" s="191" t="str">
        <x:v>Girdi</x:v>
      </x:c>
      <x:c r="C18" s="191" t="str">
        <x:v>Evet</x:v>
      </x:c>
      <x:c r="D18" s="192" t="str">
        <x:v>Değerlendirme zaman penceresi</x:v>
      </x:c>
      <x:c r="E18" s="192" t="str">
        <x:v>Açık ve ölçülebilir tanım</x:v>
      </x:c>
    </x:row>
    <x:row r="19" ht="34" customHeight="1">
      <x:c r="A19" s="190" t="str">
        <x:v>fail_action</x:v>
      </x:c>
      <x:c r="B19" s="191" t="str">
        <x:v>Girdi</x:v>
      </x:c>
      <x:c r="C19" s="191" t="str">
        <x:v>Evet</x:v>
      </x:c>
      <x:c r="D19" s="192" t="str">
        <x:v>Koşul sağlanmazsa güvenli eylem</x:v>
      </x:c>
      <x:c r="E19" s="192" t="str">
        <x:v>Açık fail-closed eylem</x:v>
      </x:c>
    </x:row>
    <x:row r="20" ht="34" customHeight="1">
      <x:c r="A20" s="190" t="str">
        <x:v>recertification_status</x:v>
      </x:c>
      <x:c r="B20" s="191" t="str">
        <x:v>Girdi</x:v>
      </x:c>
      <x:c r="C20" s="191" t="str">
        <x:v>Evet</x:v>
      </x:c>
      <x:c r="D20" s="192" t="str">
        <x:v>Yeniden sertifikasyon gereksinimi</x:v>
      </x:c>
      <x:c r="E20" s="192" t="str">
        <x:v>REQUIRED_BEFORE_ADOPTION | NOT_REQUIRED_WITH_RATIONALE</x:v>
      </x:c>
    </x:row>
    <x:row r="21" ht="34" customHeight="1">
      <x:c r="A21" s="190" t="str">
        <x:v>owner_id</x:v>
      </x:c>
      <x:c r="B21" s="191" t="str">
        <x:v>Girdi</x:v>
      </x:c>
      <x:c r="C21" s="191" t="str">
        <x:v>Evet</x:v>
      </x:c>
      <x:c r="D21" s="192" t="str">
        <x:v>Karar sahibi</x:v>
      </x:c>
      <x:c r="E21" s="192" t="str">
        <x:v>Gerçek kimlik; approver_id ile farklı</x:v>
      </x:c>
    </x:row>
    <x:row r="22" ht="34" customHeight="1">
      <x:c r="A22" s="190" t="str">
        <x:v>approver_id</x:v>
      </x:c>
      <x:c r="B22" s="191" t="str">
        <x:v>Girdi</x:v>
      </x:c>
      <x:c r="C22" s="191" t="str">
        <x:v>Evet</x:v>
      </x:c>
      <x:c r="D22" s="192" t="str">
        <x:v>Önerilen bağımsız onaylayıcı</x:v>
      </x:c>
      <x:c r="E22" s="192" t="str">
        <x:v>Gerçek kimlik; owner_id ile farklı</x:v>
      </x:c>
    </x:row>
    <x:row r="23" ht="34" customHeight="1">
      <x:c r="A23" s="190" t="str">
        <x:v>submitted_at_utc</x:v>
      </x:c>
      <x:c r="B23" s="191" t="str">
        <x:v>Girdi</x:v>
      </x:c>
      <x:c r="C23" s="191" t="str">
        <x:v>Evet</x:v>
      </x:c>
      <x:c r="D23" s="192" t="str">
        <x:v>Gönderim zamanı</x:v>
      </x:c>
      <x:c r="E23" s="192" t="str">
        <x:v>ISO-8601 UTC: YYYY-MM-DDThh:mm:ssZ</x:v>
      </x:c>
    </x:row>
    <x:row r="24" ht="34" customHeight="1">
      <x:c r="A24" s="190" t="str">
        <x:v>readiness_check</x:v>
      </x:c>
      <x:c r="B24" s="191" t="str">
        <x:v>Formül</x:v>
      </x:c>
      <x:c r="C24" s="191" t="str">
        <x:v>Hayır</x:v>
      </x:c>
      <x:c r="D24" s="192" t="str">
        <x:v>Otomatik eksiksizlik kontrolü</x:v>
      </x:c>
      <x:c r="E24" s="192" t="str">
        <x:v>BOŞ | EKSİK | İNCELEMEYE_HAZIR</x:v>
      </x:c>
    </x:row>
  </x:sheetData>
  <x:mergeCells>
    <x:mergeCell ref="A1:E2"/>
  </x:mergeCells>
  <x:pageMargins left="0.7" right="0.7" top="0.75" bottom="0.75" header="0.3" footer="0.3"/>
</x:worksheet>
</file>